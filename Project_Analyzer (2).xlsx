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6380" windowHeight="8190" tabRatio="500" firstSheet="3" activeTab="7"/>
  </bookViews>
  <sheets>
    <sheet name="Customers_Data" sheetId="1" r:id="rId1"/>
    <sheet name="Scenario Summary" sheetId="2" r:id="rId2"/>
    <sheet name="Descriptive_Statistics" sheetId="4" r:id="rId3"/>
    <sheet name="Monthly_Sales" sheetId="5" r:id="rId4"/>
    <sheet name="High_value_Customers" sheetId="6" r:id="rId5"/>
    <sheet name="Pivot_Table" sheetId="7" r:id="rId6"/>
    <sheet name="Charts" sheetId="8" r:id="rId7"/>
    <sheet name="Dashboard" sheetId="9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9" l="1"/>
  <c r="F8" i="9"/>
  <c r="B8" i="9"/>
  <c r="F5" i="9"/>
  <c r="B5" i="9"/>
  <c r="L14" i="8"/>
  <c r="L13" i="8"/>
  <c r="L12" i="8"/>
  <c r="L11" i="8"/>
  <c r="L10" i="8"/>
  <c r="L9" i="8"/>
  <c r="L8" i="8"/>
  <c r="E7" i="8"/>
  <c r="V7" i="8"/>
  <c r="L7" i="8"/>
  <c r="E6" i="8"/>
  <c r="V6" i="8"/>
  <c r="L6" i="8"/>
  <c r="E5" i="8"/>
  <c r="V5" i="8"/>
  <c r="L5" i="8"/>
  <c r="E4" i="8"/>
  <c r="V4" i="8"/>
  <c r="L4" i="8"/>
  <c r="E3" i="8"/>
  <c r="V3" i="8"/>
  <c r="L3" i="8"/>
  <c r="F9" i="7"/>
  <c r="E9" i="7"/>
  <c r="D9" i="7"/>
  <c r="C9" i="7"/>
  <c r="B9" i="7"/>
  <c r="G9" i="7" s="1"/>
  <c r="F8" i="7"/>
  <c r="E8" i="7"/>
  <c r="D8" i="7"/>
  <c r="C8" i="7"/>
  <c r="G8" i="7" s="1"/>
  <c r="B8" i="7"/>
  <c r="F7" i="7"/>
  <c r="E7" i="7"/>
  <c r="D7" i="7"/>
  <c r="C7" i="7"/>
  <c r="B7" i="7"/>
  <c r="G7" i="7" s="1"/>
  <c r="F6" i="7"/>
  <c r="E6" i="7"/>
  <c r="D6" i="7"/>
  <c r="C6" i="7"/>
  <c r="C10" i="7" s="1"/>
  <c r="B6" i="7"/>
  <c r="F5" i="7"/>
  <c r="F10" i="7" s="1"/>
  <c r="E5" i="7"/>
  <c r="E10" i="7" s="1"/>
  <c r="D5" i="7"/>
  <c r="D10" i="7" s="1"/>
  <c r="C5" i="7"/>
  <c r="B5" i="7"/>
  <c r="B10" i="7" s="1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C15" i="5"/>
  <c r="C14" i="5"/>
  <c r="D14" i="5" s="1"/>
  <c r="E14" i="5" s="1"/>
  <c r="C13" i="5"/>
  <c r="D13" i="5" s="1"/>
  <c r="E13" i="5" s="1"/>
  <c r="C12" i="5"/>
  <c r="D12" i="5" s="1"/>
  <c r="E12" i="5" s="1"/>
  <c r="C11" i="5"/>
  <c r="C10" i="5"/>
  <c r="D10" i="5" s="1"/>
  <c r="E10" i="5" s="1"/>
  <c r="C9" i="5"/>
  <c r="D9" i="5" s="1"/>
  <c r="E9" i="5" s="1"/>
  <c r="C8" i="5"/>
  <c r="D8" i="5" s="1"/>
  <c r="E8" i="5" s="1"/>
  <c r="C7" i="5"/>
  <c r="C6" i="5"/>
  <c r="D6" i="5" s="1"/>
  <c r="E6" i="5" s="1"/>
  <c r="C5" i="5"/>
  <c r="D5" i="5" s="1"/>
  <c r="E5" i="5" s="1"/>
  <c r="C4" i="5"/>
  <c r="D4" i="5" s="1"/>
  <c r="E4" i="5" s="1"/>
  <c r="C3" i="5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R4" i="1"/>
  <c r="R6" i="1" s="1"/>
  <c r="K4" i="1"/>
  <c r="J4" i="1"/>
  <c r="K3" i="1"/>
  <c r="J3" i="1"/>
  <c r="K2" i="1"/>
  <c r="J2" i="1"/>
  <c r="H5" i="9" s="1"/>
  <c r="L15" i="8" l="1"/>
  <c r="E8" i="8"/>
  <c r="V8" i="8"/>
  <c r="B2" i="6"/>
  <c r="G5" i="7"/>
  <c r="E2" i="6"/>
  <c r="D5" i="9"/>
  <c r="D8" i="9"/>
  <c r="D7" i="5"/>
  <c r="E7" i="5" s="1"/>
  <c r="G6" i="7"/>
  <c r="D11" i="5"/>
  <c r="E11" i="5" s="1"/>
  <c r="D15" i="5"/>
  <c r="E15" i="5" s="1"/>
  <c r="G10" i="7" l="1"/>
  <c r="B4" i="6"/>
  <c r="B3" i="6"/>
  <c r="B5" i="6"/>
</calcChain>
</file>

<file path=xl/sharedStrings.xml><?xml version="1.0" encoding="utf-8"?>
<sst xmlns="http://schemas.openxmlformats.org/spreadsheetml/2006/main" count="1163" uniqueCount="290">
  <si>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</si>
  <si>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</si>
  <si>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</si>
  <si>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</si>
  <si>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</si>
  <si>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</si>
  <si>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</si>
  <si>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</si>
  <si>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</si>
  <si>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Total_Purchase</t>
  </si>
  <si>
    <t>Timestamp</t>
  </si>
  <si>
    <t>CUST022</t>
  </si>
  <si>
    <t>Vikas Nair</t>
  </si>
  <si>
    <t>East</t>
  </si>
  <si>
    <t>Electronics</t>
  </si>
  <si>
    <t>Top_10_Customers</t>
  </si>
  <si>
    <t>OUTPUT IN  :- Scenario Summary Worksheet</t>
  </si>
  <si>
    <t>CUST017</t>
  </si>
  <si>
    <t>Deepak Singh</t>
  </si>
  <si>
    <t>Furniture</t>
  </si>
  <si>
    <t>Sum of Sales</t>
  </si>
  <si>
    <t>What IF analysis</t>
  </si>
  <si>
    <t>CUST016</t>
  </si>
  <si>
    <t>Arjun Sharma</t>
  </si>
  <si>
    <t>Central</t>
  </si>
  <si>
    <t>Clothing</t>
  </si>
  <si>
    <t>CUST015</t>
  </si>
  <si>
    <t>CUST014</t>
  </si>
  <si>
    <t>Priya Agarwal</t>
  </si>
  <si>
    <t>CUST029</t>
  </si>
  <si>
    <t>CUST013</t>
  </si>
  <si>
    <t>Neha Kumar</t>
  </si>
  <si>
    <t>North</t>
  </si>
  <si>
    <t>CUST025</t>
  </si>
  <si>
    <t>Formula</t>
  </si>
  <si>
    <t>CUST003</t>
  </si>
  <si>
    <t>Neha Iyer</t>
  </si>
  <si>
    <t>CUST012</t>
  </si>
  <si>
    <t>Vikram Sharma</t>
  </si>
  <si>
    <t>CUST009</t>
  </si>
  <si>
    <t>Preeti Patel</t>
  </si>
  <si>
    <t>Office Supplies</t>
  </si>
  <si>
    <t>CUST023</t>
  </si>
  <si>
    <t>Nisha Agarwal</t>
  </si>
  <si>
    <t>CUST028</t>
  </si>
  <si>
    <t>CUST021</t>
  </si>
  <si>
    <t>Aarav Gupta</t>
  </si>
  <si>
    <t>West</t>
  </si>
  <si>
    <t>CUST004</t>
  </si>
  <si>
    <t>Anjali Mishra</t>
  </si>
  <si>
    <t>South</t>
  </si>
  <si>
    <t>Books</t>
  </si>
  <si>
    <t>CUST005</t>
  </si>
  <si>
    <t>Preeti Chauhan</t>
  </si>
  <si>
    <t>Shilpa Iyer</t>
  </si>
  <si>
    <t>Rahul Joshi</t>
  </si>
  <si>
    <t>Suresh Patel</t>
  </si>
  <si>
    <t>Manoj Gupta</t>
  </si>
  <si>
    <t>CUST020</t>
  </si>
  <si>
    <t>Suresh Rao</t>
  </si>
  <si>
    <t>Pooja Dubey</t>
  </si>
  <si>
    <t>Anjali Yadav</t>
  </si>
  <si>
    <t>Swati Jain</t>
  </si>
  <si>
    <t>CUST008</t>
  </si>
  <si>
    <t>Ananya Mishra</t>
  </si>
  <si>
    <t>CUST026</t>
  </si>
  <si>
    <t>Gaurav Singh</t>
  </si>
  <si>
    <t>Pooja Mishra</t>
  </si>
  <si>
    <t>Divya Chauhan</t>
  </si>
  <si>
    <t>Anjali Bansal</t>
  </si>
  <si>
    <t>Gaurav Jain</t>
  </si>
  <si>
    <t>Sneha Nair</t>
  </si>
  <si>
    <t>Mohit Patel</t>
  </si>
  <si>
    <t>Kiran Rao</t>
  </si>
  <si>
    <t>Tanvi Joshi</t>
  </si>
  <si>
    <t>Pooja Yadav</t>
  </si>
  <si>
    <t>Sanjay Verma</t>
  </si>
  <si>
    <t>Ananya Rao</t>
  </si>
  <si>
    <t>Manish Sharma</t>
  </si>
  <si>
    <t>Akash Mishra</t>
  </si>
  <si>
    <t>CUST011</t>
  </si>
  <si>
    <t>Aarav Tiwari</t>
  </si>
  <si>
    <t>Mohit Mishra</t>
  </si>
  <si>
    <t>Anil Pillai</t>
  </si>
  <si>
    <t>Shweta Agarwal</t>
  </si>
  <si>
    <t>Swati Singh</t>
  </si>
  <si>
    <t>Shilpa Yadav</t>
  </si>
  <si>
    <t>Anjali Iyer</t>
  </si>
  <si>
    <t>CUST027</t>
  </si>
  <si>
    <t>Usha Patel</t>
  </si>
  <si>
    <t>Meena Joshi</t>
  </si>
  <si>
    <t>Suresh Gupta</t>
  </si>
  <si>
    <t>CUST007</t>
  </si>
  <si>
    <t>Nisha Rao</t>
  </si>
  <si>
    <t>Shilpa Verma</t>
  </si>
  <si>
    <t>Neha Bansal</t>
  </si>
  <si>
    <t>Usha Singh</t>
  </si>
  <si>
    <t>Anjali Mehta</t>
  </si>
  <si>
    <t>Seema Chauhan</t>
  </si>
  <si>
    <t>CUST002</t>
  </si>
  <si>
    <t>Aditi Singh</t>
  </si>
  <si>
    <t>Kiran Iyer</t>
  </si>
  <si>
    <t>CUST019</t>
  </si>
  <si>
    <t>Shweta Mishra</t>
  </si>
  <si>
    <t>CUST010</t>
  </si>
  <si>
    <t>Preeti Tiwari</t>
  </si>
  <si>
    <t>Manish Singh</t>
  </si>
  <si>
    <t>Meena Nair</t>
  </si>
  <si>
    <t>Meena Chauhan</t>
  </si>
  <si>
    <t>Gaurav Nair</t>
  </si>
  <si>
    <t>Amit Mehta</t>
  </si>
  <si>
    <t>CUST030</t>
  </si>
  <si>
    <t>Kavita Iyer</t>
  </si>
  <si>
    <t>Preeti Bansal</t>
  </si>
  <si>
    <t>Vivek Mehta</t>
  </si>
  <si>
    <t>Vivek Patel</t>
  </si>
  <si>
    <t>Ananya Bansal</t>
  </si>
  <si>
    <t>Swati Rao</t>
  </si>
  <si>
    <t>Kiran Patel</t>
  </si>
  <si>
    <t>Suresh Verma</t>
  </si>
  <si>
    <t>CUST001</t>
  </si>
  <si>
    <t>Kavita Chauhan</t>
  </si>
  <si>
    <t>Vivek Pillai</t>
  </si>
  <si>
    <t>Mohit Bansal</t>
  </si>
  <si>
    <t>Deepak Nair</t>
  </si>
  <si>
    <t>Tanvi Nair</t>
  </si>
  <si>
    <t>Vikram Rao</t>
  </si>
  <si>
    <t>Manoj Patel</t>
  </si>
  <si>
    <t>CUST018</t>
  </si>
  <si>
    <t>Vikram Pillai</t>
  </si>
  <si>
    <t>Nisha Iyer</t>
  </si>
  <si>
    <t>Manish Gupta</t>
  </si>
  <si>
    <t>Sneha Chauhan</t>
  </si>
  <si>
    <t>Neha Singh</t>
  </si>
  <si>
    <t>Rekha Yadav</t>
  </si>
  <si>
    <t>Vikram Agarwal</t>
  </si>
  <si>
    <t>Rohit Joshi</t>
  </si>
  <si>
    <t>Manoj Verma</t>
  </si>
  <si>
    <t>Kavita Bansal</t>
  </si>
  <si>
    <t>Arjun Mishra</t>
  </si>
  <si>
    <t>Rahul Agarwal</t>
  </si>
  <si>
    <t>CUST006</t>
  </si>
  <si>
    <t>Sneha Joshi</t>
  </si>
  <si>
    <t>Sneha Iyer</t>
  </si>
  <si>
    <t>Aditi Chauhan</t>
  </si>
  <si>
    <t>Divya Kumar</t>
  </si>
  <si>
    <t>Vikram Verma</t>
  </si>
  <si>
    <t>CUST024</t>
  </si>
  <si>
    <t>Vikram Jain</t>
  </si>
  <si>
    <t>Shweta Mehta</t>
  </si>
  <si>
    <t>Sanjay Mishra</t>
  </si>
  <si>
    <t>Rekha Iyer</t>
  </si>
  <si>
    <t>Rohit Mishra</t>
  </si>
  <si>
    <t>Ravi Sharma</t>
  </si>
  <si>
    <t>Vikas Mehta</t>
  </si>
  <si>
    <t>Vikram Mehta</t>
  </si>
  <si>
    <t>Lata Jain</t>
  </si>
  <si>
    <t>Neha Jain</t>
  </si>
  <si>
    <t>Anil Joshi</t>
  </si>
  <si>
    <t>Usha Agarwal</t>
  </si>
  <si>
    <t>Shweta Tiwari</t>
  </si>
  <si>
    <t>Lata Verma</t>
  </si>
  <si>
    <t>Amit Joshi</t>
  </si>
  <si>
    <t>Swati Mishra</t>
  </si>
  <si>
    <t>Anjali Pillai</t>
  </si>
  <si>
    <t>Kiran Agarwal</t>
  </si>
  <si>
    <t>Akash Sharma</t>
  </si>
  <si>
    <t>Mohit Sharma</t>
  </si>
  <si>
    <t>Aditi Patel</t>
  </si>
  <si>
    <t>Amit Verma</t>
  </si>
  <si>
    <t>Seema Agarwal</t>
  </si>
  <si>
    <t>Vikram Kumar</t>
  </si>
  <si>
    <t>Rohit Agarwal</t>
  </si>
  <si>
    <t>Shilpa Chauhan</t>
  </si>
  <si>
    <t>Preeti Agarwal</t>
  </si>
  <si>
    <t>Meena Rao</t>
  </si>
  <si>
    <t>Seema Dubey</t>
  </si>
  <si>
    <t>Pooja Tiwari</t>
  </si>
  <si>
    <t>Pooja Mehta</t>
  </si>
  <si>
    <t>Sneha Rao</t>
  </si>
  <si>
    <t>Swati Kumar</t>
  </si>
  <si>
    <t>Anil Yadav</t>
  </si>
  <si>
    <t>Sanjay Yadav</t>
  </si>
  <si>
    <t>Arjun Dubey</t>
  </si>
  <si>
    <t>Rekha Singh</t>
  </si>
  <si>
    <t>Vikas Verma</t>
  </si>
  <si>
    <t>Divya Bansal</t>
  </si>
  <si>
    <t>Rohit Nair</t>
  </si>
  <si>
    <t>Manish Pillai</t>
  </si>
  <si>
    <t>Pooja Bansal</t>
  </si>
  <si>
    <t>Anil Singh</t>
  </si>
  <si>
    <t>Shilpa Sharma</t>
  </si>
  <si>
    <t>Nikhil Singh</t>
  </si>
  <si>
    <t>Deepak Rao</t>
  </si>
  <si>
    <t>Amit Bansal</t>
  </si>
  <si>
    <t>Sanjay Sharma</t>
  </si>
  <si>
    <t>Meena Verma</t>
  </si>
  <si>
    <t>Usha Nair</t>
  </si>
  <si>
    <t>Usha Joshi</t>
  </si>
  <si>
    <t>Kavita Kumar</t>
  </si>
  <si>
    <t>Sneha Pillai</t>
  </si>
  <si>
    <t>Mohit Yadav</t>
  </si>
  <si>
    <t>Meena Singh</t>
  </si>
  <si>
    <t>Rekha Gupta</t>
  </si>
  <si>
    <t>Nisha Joshi</t>
  </si>
  <si>
    <t>Rekha Jain</t>
  </si>
  <si>
    <t>Seema Rao</t>
  </si>
  <si>
    <t>Meena Dubey</t>
  </si>
  <si>
    <t>Shweta Nair</t>
  </si>
  <si>
    <t>Nisha Pillai</t>
  </si>
  <si>
    <t>Rahul Kumar</t>
  </si>
  <si>
    <t>Pooja Pillai</t>
  </si>
  <si>
    <t>Manish Iyer</t>
  </si>
  <si>
    <t>Vikas Sharma</t>
  </si>
  <si>
    <t>Vivek Iyer</t>
  </si>
  <si>
    <t>Preeti Gupta</t>
  </si>
  <si>
    <t>Divya Joshi</t>
  </si>
  <si>
    <t>Vikas Rao</t>
  </si>
  <si>
    <t>Seema Patel</t>
  </si>
  <si>
    <t>Kavita Tiwari</t>
  </si>
  <si>
    <t>Akash Iyer</t>
  </si>
  <si>
    <t>Arjun Joshi</t>
  </si>
  <si>
    <t>Tanvi Chauhan</t>
  </si>
  <si>
    <t>Rohit Dubey</t>
  </si>
  <si>
    <t>Ananya Joshi</t>
  </si>
  <si>
    <t>Seema Gupta</t>
  </si>
  <si>
    <t>Priya Rao</t>
  </si>
  <si>
    <t>Sanjay Kumar</t>
  </si>
  <si>
    <t>Vikas Tiwari</t>
  </si>
  <si>
    <t>Manoj Yadav</t>
  </si>
  <si>
    <t>Scenario Summary</t>
  </si>
  <si>
    <t>Current Values:</t>
  </si>
  <si>
    <t>No Discount</t>
  </si>
  <si>
    <t>5% Discount</t>
  </si>
  <si>
    <t>10% Discount</t>
  </si>
  <si>
    <t>15% Discount</t>
  </si>
  <si>
    <t>20% Discount</t>
  </si>
  <si>
    <t>Changing Cells:</t>
  </si>
  <si>
    <t>$R$5</t>
  </si>
  <si>
    <t>Result Cells:</t>
  </si>
  <si>
    <t>$R$6</t>
  </si>
  <si>
    <t>Standard Error</t>
  </si>
  <si>
    <t>Sales Descriptive Statistics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</si>
  <si>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</si>
  <si>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</si>
  <si>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</si>
  <si>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</si>
  <si>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</si>
  <si>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</si>
  <si>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</si>
  <si>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</si>
  <si>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</si>
  <si>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</si>
  <si>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</si>
  <si>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</si>
  <si>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</si>
  <si>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</si>
  <si>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</si>
  <si>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Trend</t>
  </si>
  <si>
    <t>INDEX &amp; MATCH Analysis</t>
  </si>
  <si>
    <t>High Value Threshold</t>
  </si>
  <si>
    <t xml:space="preserve">Max Purchase Amount  </t>
  </si>
  <si>
    <t>High Value Customer Count</t>
  </si>
  <si>
    <t xml:space="preserve">Top Customer Name </t>
  </si>
  <si>
    <t>Top Customer Region</t>
  </si>
  <si>
    <t>Top Customer Sales</t>
  </si>
  <si>
    <t>Grand Total</t>
  </si>
  <si>
    <t>Months (Order_Date)</t>
  </si>
  <si>
    <t>Count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</si>
  <si>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</si>
  <si>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</si>
  <si>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</si>
  <si>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</si>
  <si>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</si>
  <si>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</si>
  <si>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</si>
  <si>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</si>
  <si>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</si>
  <si>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</si>
  <si>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</si>
  <si>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</si>
  <si>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SALES PERFORMANCE DASHBOARD  |  2024 - 2025</t>
  </si>
  <si>
    <t>TOTAL SALES</t>
  </si>
  <si>
    <t>TOTAL PROFIT</t>
  </si>
  <si>
    <t>TOTAL CUSTOMERS</t>
  </si>
  <si>
    <t>TOP CUSTOMER</t>
  </si>
  <si>
    <t>AVG ORDER VALUE</t>
  </si>
  <si>
    <t>MAX PURCHASE</t>
  </si>
  <si>
    <t>TOTAL ORDERS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</si>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</sst>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yy"/>
    <numFmt numFmtId="165" formatCode="dd\-mmm\-yyyy\ hh:mm"/>
    <numFmt numFmtId="166" formatCode="#,##0.000"/>
    <numFmt numFmtId="167" formatCode="mmm\-yyyy"/>
  </numFmts>
  <fonts count="21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4"/>
      <color rgb="FF1F4E79"/>
      <name val="Calibri"/>
      <charset val="1"/>
    </font>
    <font>
      <i/>
      <sz val="9"/>
      <color rgb="FF7F7F7F"/>
      <name val="Calibri"/>
      <charset val="1"/>
    </font>
    <font>
      <b/>
      <sz val="11"/>
      <name val="Calibri"/>
      <charset val="1"/>
    </font>
    <font>
      <i/>
      <sz val="9"/>
      <color rgb="FF595959"/>
      <name val="Calibri"/>
      <charset val="1"/>
    </font>
    <font>
      <b/>
      <sz val="13"/>
      <color rgb="FF1F4E79"/>
      <name val="Calibri"/>
      <charset val="1"/>
    </font>
    <font>
      <b/>
      <sz val="10"/>
      <name val="Calibri"/>
      <charset val="1"/>
    </font>
    <font>
      <b/>
      <sz val="10"/>
      <color rgb="FFFFFFFF"/>
      <name val="Calibri"/>
      <charset val="1"/>
    </font>
    <font>
      <b/>
      <sz val="11"/>
      <color rgb="FF000000"/>
      <name val="Calibri"/>
      <charset val="1"/>
    </font>
    <font>
      <b/>
      <sz val="16"/>
      <color rgb="FFFFFFFF"/>
      <name val="Calibri"/>
      <charset val="1"/>
    </font>
    <font>
      <b/>
      <sz val="16"/>
      <color rgb="FF2E75B6"/>
      <name val="Calibri"/>
      <charset val="1"/>
    </font>
    <font>
      <b/>
      <sz val="16"/>
      <color rgb="FF375623"/>
      <name val="Calibri"/>
      <charset val="1"/>
    </font>
    <font>
      <b/>
      <sz val="16"/>
      <color rgb="FF833C11"/>
      <name val="Calibri"/>
      <charset val="1"/>
    </font>
    <font>
      <b/>
      <sz val="16"/>
      <color rgb="FF7030A0"/>
      <name val="Calibri"/>
      <charset val="1"/>
    </font>
    <font>
      <b/>
      <sz val="12"/>
      <color rgb="FF1F4E79"/>
      <name val="Calibri"/>
      <charset val="1"/>
    </font>
    <font>
      <b/>
      <sz val="18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20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  <fill>
      <patternFill patternType="solid">
        <fgColor rgb="FFDCE6F1"/>
        <bgColor rgb="FFD9E1F2"/>
      </patternFill>
    </fill>
    <fill>
      <patternFill patternType="solid">
        <fgColor rgb="FFEBF3FB"/>
        <bgColor rgb="FFF2F2F2"/>
      </patternFill>
    </fill>
    <fill>
      <patternFill patternType="solid">
        <fgColor rgb="FFD9E1F2"/>
        <bgColor rgb="FFDCE6F1"/>
      </patternFill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276221"/>
      </patternFill>
    </fill>
    <fill>
      <patternFill patternType="solid">
        <fgColor rgb="FF833C11"/>
        <bgColor rgb="FF595959"/>
      </patternFill>
    </fill>
    <fill>
      <patternFill patternType="solid">
        <fgColor rgb="FF7030A0"/>
        <bgColor rgb="FF800080"/>
      </patternFill>
    </fill>
    <fill>
      <patternFill patternType="solid">
        <fgColor rgb="FFF2F2F2"/>
        <bgColor rgb="FFEBF3FB"/>
      </patternFill>
    </fill>
    <fill>
      <patternFill patternType="solid">
        <fgColor rgb="FF595959"/>
        <bgColor rgb="FF375623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rgb="FF0070C0"/>
        <bgColor rgb="FF4A7EBB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rgb="FFD9E1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0" xfId="0" applyFont="1"/>
    <xf numFmtId="4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/>
    </xf>
    <xf numFmtId="4" fontId="5" fillId="7" borderId="1" xfId="0" applyNumberFormat="1" applyFont="1" applyFill="1" applyBorder="1"/>
    <xf numFmtId="4" fontId="1" fillId="6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" fontId="12" fillId="12" borderId="1" xfId="0" applyNumberFormat="1" applyFont="1" applyFill="1" applyBorder="1" applyAlignment="1">
      <alignment horizontal="center" vertical="center"/>
    </xf>
    <xf numFmtId="4" fontId="13" fillId="12" borderId="1" xfId="0" applyNumberFormat="1" applyFont="1" applyFill="1" applyBorder="1" applyAlignment="1">
      <alignment horizontal="center" vertical="center"/>
    </xf>
    <xf numFmtId="3" fontId="14" fillId="12" borderId="1" xfId="0" applyNumberFormat="1" applyFont="1" applyFill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center" vertical="center"/>
    </xf>
    <xf numFmtId="3" fontId="3" fillId="12" borderId="1" xfId="0" applyNumberFormat="1" applyFont="1" applyFill="1" applyBorder="1" applyAlignment="1">
      <alignment horizontal="center" vertical="center"/>
    </xf>
    <xf numFmtId="10" fontId="3" fillId="12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0" fillId="15" borderId="2" xfId="0" applyFont="1" applyFill="1" applyBorder="1" applyAlignment="1">
      <alignment horizontal="center"/>
    </xf>
    <xf numFmtId="0" fontId="0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4" fontId="0" fillId="16" borderId="2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18" borderId="2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5" fillId="18" borderId="2" xfId="0" applyNumberFormat="1" applyFont="1" applyFill="1" applyBorder="1" applyAlignment="1">
      <alignment horizontal="center"/>
    </xf>
    <xf numFmtId="0" fontId="0" fillId="19" borderId="0" xfId="0" applyFill="1"/>
    <xf numFmtId="0" fontId="18" fillId="1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/>
    </xf>
    <xf numFmtId="0" fontId="0" fillId="15" borderId="2" xfId="0" applyFont="1" applyFill="1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9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9" fontId="0" fillId="23" borderId="0" xfId="0" applyNumberFormat="1" applyFill="1" applyAlignment="1">
      <alignment horizontal="center"/>
    </xf>
    <xf numFmtId="166" fontId="0" fillId="15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20" fillId="2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color rgb="FF9C0006"/>
        <name val="Calibri"/>
      </font>
      <fill>
        <patternFill>
          <bgColor rgb="FFFFC7CE"/>
        </patternFill>
      </fill>
    </dxf>
    <dxf>
      <font>
        <b/>
        <color rgb="FF276221"/>
        <name val="Calibri"/>
      </font>
      <fill>
        <patternFill>
          <bgColor rgb="FFC6EFCE"/>
        </patternFill>
      </fill>
    </dxf>
    <dxf>
      <font>
        <b/>
        <color rgb="FF276221"/>
        <name val="Calibri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4F81BD"/>
      <rgbColor rgb="FFBFBFBF"/>
      <rgbColor rgb="FF7F7F7F"/>
      <rgbColor rgb="FF9999FF"/>
      <rgbColor rgb="FF7030A0"/>
      <rgbColor rgb="FFF9F9F9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2F2F2"/>
      <rgbColor rgb="FFD9D9D9"/>
      <rgbColor rgb="FFFF99CC"/>
      <rgbColor rgb="FFD9E1F2"/>
      <rgbColor rgb="FFFFC7CE"/>
      <rgbColor rgb="FF4472C4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A7EBB"/>
      <rgbColor rgb="FF003300"/>
      <rgbColor rgb="FF595959"/>
      <rgbColor rgb="FF833C11"/>
      <rgbColor rgb="FFC0504D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 Wise Total Sales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Charts!$E$2:$E$7</c:f>
              <c:numCache>
                <c:formatCode>#,##0.00</c:formatCode>
                <c:ptCount val="6"/>
                <c:pt idx="0" formatCode="General">
                  <c:v>0</c:v>
                </c:pt>
                <c:pt idx="1">
                  <c:v>42929.990000000013</c:v>
                </c:pt>
                <c:pt idx="2">
                  <c:v>52175.829999999994</c:v>
                </c:pt>
                <c:pt idx="3">
                  <c:v>34368.449999999997</c:v>
                </c:pt>
                <c:pt idx="4">
                  <c:v>34255.29</c:v>
                </c:pt>
                <c:pt idx="5">
                  <c:v>46495.590000000004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D-4AE1-894A-D9801BDB2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74869"/>
        <c:axId val="15304993"/>
      </c:barChart>
      <c:catAx>
        <c:axId val="30474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04993"/>
        <c:crosses val="autoZero"/>
        <c:auto val="1"/>
        <c:lblAlgn val="ctr"/>
        <c:lblOffset val="100"/>
        <c:noMultiLvlLbl val="0"/>
      </c:catAx>
      <c:valAx>
        <c:axId val="15304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74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Charts!$K$3:$K$14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Charts!$L$3:$L$14</c:f>
              <c:numCache>
                <c:formatCode>#,##0.00</c:formatCode>
                <c:ptCount val="12"/>
                <c:pt idx="0">
                  <c:v>13185.039999999999</c:v>
                </c:pt>
                <c:pt idx="1">
                  <c:v>24426.569999999996</c:v>
                </c:pt>
                <c:pt idx="2">
                  <c:v>22048.98</c:v>
                </c:pt>
                <c:pt idx="3">
                  <c:v>11185.24</c:v>
                </c:pt>
                <c:pt idx="4">
                  <c:v>14571.73</c:v>
                </c:pt>
                <c:pt idx="5">
                  <c:v>19085.34</c:v>
                </c:pt>
                <c:pt idx="6">
                  <c:v>19702.260000000002</c:v>
                </c:pt>
                <c:pt idx="7">
                  <c:v>16260.43</c:v>
                </c:pt>
                <c:pt idx="8">
                  <c:v>22490.74</c:v>
                </c:pt>
                <c:pt idx="9">
                  <c:v>11800.11</c:v>
                </c:pt>
                <c:pt idx="10">
                  <c:v>20350.45</c:v>
                </c:pt>
                <c:pt idx="11">
                  <c:v>15118.259999999998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BE-4BA1-8FFB-8D4E24814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190567"/>
        <c:axId val="60005893"/>
      </c:lineChart>
      <c:catAx>
        <c:axId val="271905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005893"/>
        <c:crosses val="autoZero"/>
        <c:auto val="1"/>
        <c:lblAlgn val="ctr"/>
        <c:lblOffset val="100"/>
        <c:noMultiLvlLbl val="0"/>
      </c:catAx>
      <c:valAx>
        <c:axId val="60005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905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Product category %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7.4733667051726349E-2"/>
          <c:y val="0.19186958563824236"/>
          <c:w val="0.63365602137081245"/>
          <c:h val="0.71227977246633967"/>
        </c:manualLayout>
      </c:layout>
      <c:pie3DChart>
        <c:varyColors val="1"/>
        <c:ser>
          <c:idx val="0"/>
          <c:order val="0"/>
          <c:tx>
            <c:strRef>
              <c:f>Charts!$V$2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4D0-49B4-98EA-DE3598EADC0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4D0-49B4-98EA-DE3598EADC0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4D0-49B4-98EA-DE3598EADC0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4D0-49B4-98EA-DE3598EADC0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4D0-49B4-98EA-DE3598EADC0B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4D0-49B4-98EA-DE3598EADC0B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4D0-49B4-98EA-DE3598EADC0B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4D0-49B4-98EA-DE3598EADC0B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4D0-49B4-98EA-DE3598EADC0B}"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4D0-49B4-98EA-DE3598EAD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Charts!$U$3:$U$7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Books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Charts!$V$3:$V$7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31</c:v>
                </c:pt>
                <c:pt idx="3">
                  <c:v>42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D0-49B4-98EA-DE3598EA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 Wise Total Sales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Charts!$E$2:$E$7</c:f>
              <c:numCache>
                <c:formatCode>#,##0.00</c:formatCode>
                <c:ptCount val="6"/>
                <c:pt idx="0" formatCode="General">
                  <c:v>0</c:v>
                </c:pt>
                <c:pt idx="1">
                  <c:v>42929.990000000013</c:v>
                </c:pt>
                <c:pt idx="2">
                  <c:v>52175.829999999994</c:v>
                </c:pt>
                <c:pt idx="3">
                  <c:v>34368.449999999997</c:v>
                </c:pt>
                <c:pt idx="4">
                  <c:v>34255.29</c:v>
                </c:pt>
                <c:pt idx="5">
                  <c:v>46495.590000000004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F-43AD-B054-248F57F5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7855"/>
        <c:axId val="6798846"/>
      </c:barChart>
      <c:catAx>
        <c:axId val="6174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98846"/>
        <c:crosses val="autoZero"/>
        <c:auto val="1"/>
        <c:lblAlgn val="ctr"/>
        <c:lblOffset val="100"/>
        <c:noMultiLvlLbl val="0"/>
      </c:catAx>
      <c:valAx>
        <c:axId val="6798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47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Charts!$K$3:$K$14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Charts!$L$3:$L$14</c:f>
              <c:numCache>
                <c:formatCode>#,##0.00</c:formatCode>
                <c:ptCount val="12"/>
                <c:pt idx="0">
                  <c:v>13185.039999999999</c:v>
                </c:pt>
                <c:pt idx="1">
                  <c:v>24426.569999999996</c:v>
                </c:pt>
                <c:pt idx="2">
                  <c:v>22048.98</c:v>
                </c:pt>
                <c:pt idx="3">
                  <c:v>11185.24</c:v>
                </c:pt>
                <c:pt idx="4">
                  <c:v>14571.73</c:v>
                </c:pt>
                <c:pt idx="5">
                  <c:v>19085.34</c:v>
                </c:pt>
                <c:pt idx="6">
                  <c:v>19702.260000000002</c:v>
                </c:pt>
                <c:pt idx="7">
                  <c:v>16260.43</c:v>
                </c:pt>
                <c:pt idx="8">
                  <c:v>22490.74</c:v>
                </c:pt>
                <c:pt idx="9">
                  <c:v>11800.11</c:v>
                </c:pt>
                <c:pt idx="10">
                  <c:v>20350.45</c:v>
                </c:pt>
                <c:pt idx="11">
                  <c:v>15118.259999999998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19-4D30-9C7A-4A168039B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011917"/>
        <c:axId val="13844371"/>
      </c:lineChart>
      <c:catAx>
        <c:axId val="73011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44371"/>
        <c:crosses val="autoZero"/>
        <c:auto val="1"/>
        <c:lblAlgn val="ctr"/>
        <c:lblOffset val="100"/>
        <c:noMultiLvlLbl val="0"/>
      </c:catAx>
      <c:valAx>
        <c:axId val="13844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11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Charts!$V$2</c:f>
              <c:strCache>
                <c:ptCount val="1"/>
                <c:pt idx="0">
                  <c:v>Count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83-40AA-A45D-AE4C912B8B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83-40AA-A45D-AE4C912B8B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83-40AA-A45D-AE4C912B8B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83-40AA-A45D-AE4C912B8B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83-40AA-A45D-AE4C912B8B7B}"/>
              </c:ext>
            </c:extLst>
          </c:dPt>
          <c:dLbls>
            <c:dLbl>
              <c:idx val="0"/>
              <c:layout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383-40AA-A45D-AE4C912B8B7B}"/>
                </c:ext>
              </c:extLst>
            </c:dLbl>
            <c:dLbl>
              <c:idx val="1"/>
              <c:layout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383-40AA-A45D-AE4C912B8B7B}"/>
                </c:ext>
              </c:extLst>
            </c:dLbl>
            <c:dLbl>
              <c:idx val="2"/>
              <c:layout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383-40AA-A45D-AE4C912B8B7B}"/>
                </c:ext>
              </c:extLst>
            </c:dLbl>
            <c:dLbl>
              <c:idx val="3"/>
              <c:layout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383-40AA-A45D-AE4C912B8B7B}"/>
                </c:ext>
              </c:extLst>
            </c:dLbl>
            <c:dLbl>
              <c:idx val="4"/>
              <c:layout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383-40AA-A45D-AE4C912B8B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Charts!$U$3:$U$7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Books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Charts!$V$3:$V$7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31</c:v>
                </c:pt>
                <c:pt idx="3">
                  <c:v>42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83-40AA-A45D-AE4C912B8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387350</xdr:colOff>
      <xdr:row>15</xdr:row>
      <xdr:rowOff>171450</xdr:rowOff>
    </xdr:from>
    <xdr:to>
      <xdr:col>9</xdr:col>
      <xdr:colOff>632270</xdr:colOff>
      <xdr:row>36</xdr:row>
      <xdr:rowOff>136700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12700</xdr:colOff>
      <xdr:row>15</xdr:row>
      <xdr:rowOff>177800</xdr:rowOff>
    </xdr:from>
    <xdr:to>
      <xdr:col>24</xdr:col>
      <xdr:colOff>540380</xdr:colOff>
      <xdr:row>36</xdr:row>
      <xdr:rowOff>143410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965200</xdr:colOff>
      <xdr:row>16</xdr:row>
      <xdr:rowOff>0</xdr:rowOff>
    </xdr:from>
    <xdr:to>
      <xdr:col>16</xdr:col>
      <xdr:colOff>39590</xdr:colOff>
      <xdr:row>36</xdr:row>
      <xdr:rowOff>149400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10</xdr:col>
      <xdr:colOff>120960</xdr:colOff>
      <xdr:row>25</xdr:row>
      <xdr:rowOff>176400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133350</xdr:colOff>
      <xdr:row>26</xdr:row>
      <xdr:rowOff>50800</xdr:rowOff>
    </xdr:from>
    <xdr:to>
      <xdr:col>15</xdr:col>
      <xdr:colOff>464270</xdr:colOff>
      <xdr:row>44</xdr:row>
      <xdr:rowOff>118480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203200</xdr:colOff>
      <xdr:row>10</xdr:row>
      <xdr:rowOff>12700</xdr:rowOff>
    </xdr:from>
    <xdr:to>
      <xdr:col>18</xdr:col>
      <xdr:colOff>365450</xdr:colOff>
      <xdr:row>25</xdr:row>
      <xdr:rowOff>189100</xdr:rowOff>
    </xdr:to>
    <xdr:graphicFrame macro="">
      <xdr:nvGraphicFramePr>
        <xdr:cNvPr id="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201" totalsRowShown="0">
  <autoFilter ref="A1:K201"/>
  <tableColumns count="11">
    <tableColumn id="1" name="Customer_ID"/>
    <tableColumn id="2" name="Customer_Name"/>
    <tableColumn id="3" name="Region"/>
    <tableColumn id="4" name="Product_Category"/>
    <tableColumn id="5" name="Sales"/>
    <tableColumn id="6" name="Quantity"/>
    <tableColumn id="7" name="Discount"/>
    <tableColumn id="8" name="Order_Date"/>
    <tableColumn id="9" name="Profit"/>
    <tableColumn id="10" name="Total_Purchase"/>
    <tableColumn id="11" name="Timestamp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topLeftCell="H1" zoomScaleNormal="100" workbookViewId="0">
      <pane ySplit="1" topLeftCell="A2" activePane="bottomLeft" state="frozen"/>
      <selection pane="bottomLeft" activeCell="H12" sqref="H12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0" customWidth="1"/>
    <col min="4" max="4" width="18" customWidth="1"/>
    <col min="5" max="5" width="12" customWidth="1"/>
    <col min="6" max="6" width="9" customWidth="1"/>
    <col min="7" max="7" width="10" customWidth="1"/>
    <col min="8" max="8" width="15" customWidth="1"/>
    <col min="9" max="9" width="12" customWidth="1"/>
    <col min="10" max="10" width="15" customWidth="1"/>
    <col min="11" max="11" width="22" customWidth="1"/>
    <col min="14" max="15" width="20" customWidth="1"/>
    <col min="17" max="18" width="20" customWidth="1"/>
  </cols>
  <sheetData>
    <row r="1" spans="1:18" ht="24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8" ht="15.75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>
        <v>746.97</v>
      </c>
      <c r="F2" s="2">
        <v>6</v>
      </c>
      <c r="G2" s="4">
        <v>0.15</v>
      </c>
      <c r="H2" s="5">
        <v>45393</v>
      </c>
      <c r="I2" s="3">
        <v>398.76</v>
      </c>
      <c r="J2" s="3">
        <f>SUMIF(Table1[Customer_ID],Table1[[#This Row],[Customer_ID]],Table1[Sales])</f>
        <v>6978.8600000000006</v>
      </c>
      <c r="K2" s="6">
        <f t="shared" ref="K2:K33" ca="1" si="0">NOW()</f>
        <v>46120.473312499998</v>
      </c>
      <c r="N2" s="69" t="s">
        <v>15</v>
      </c>
      <c r="O2" s="69"/>
      <c r="Q2" s="69" t="s">
        <v>16</v>
      </c>
      <c r="R2" s="69"/>
    </row>
    <row r="3" spans="1:18" ht="15.75" customHeight="1" x14ac:dyDescent="0.35">
      <c r="A3" s="7" t="s">
        <v>17</v>
      </c>
      <c r="B3" s="7" t="s">
        <v>18</v>
      </c>
      <c r="C3" s="7" t="s">
        <v>13</v>
      </c>
      <c r="D3" s="7" t="s">
        <v>19</v>
      </c>
      <c r="E3" s="8">
        <v>824.23</v>
      </c>
      <c r="F3" s="7">
        <v>17</v>
      </c>
      <c r="G3" s="9">
        <v>0.1</v>
      </c>
      <c r="H3" s="10">
        <v>45393</v>
      </c>
      <c r="I3" s="8">
        <v>246.44</v>
      </c>
      <c r="J3" s="8">
        <f>SUMIF(Table1[Customer_ID],Table1[[#This Row],[Customer_ID]],Table1[Sales])</f>
        <v>5612.99</v>
      </c>
      <c r="K3" s="11">
        <f t="shared" ca="1" si="0"/>
        <v>46120.473312499998</v>
      </c>
      <c r="N3" s="43" t="s">
        <v>0</v>
      </c>
      <c r="O3" s="43" t="s">
        <v>20</v>
      </c>
      <c r="Q3" s="70" t="s">
        <v>21</v>
      </c>
      <c r="R3" s="70"/>
    </row>
    <row r="4" spans="1:18" ht="15.75" customHeight="1" x14ac:dyDescent="0.35">
      <c r="A4" s="2" t="s">
        <v>22</v>
      </c>
      <c r="B4" s="2" t="s">
        <v>23</v>
      </c>
      <c r="C4" s="2" t="s">
        <v>24</v>
      </c>
      <c r="D4" s="2" t="s">
        <v>25</v>
      </c>
      <c r="E4" s="3">
        <v>1440.5</v>
      </c>
      <c r="F4" s="2">
        <v>10</v>
      </c>
      <c r="G4" s="4">
        <v>0.2</v>
      </c>
      <c r="H4" s="5">
        <v>45399</v>
      </c>
      <c r="I4" s="3">
        <v>566.53</v>
      </c>
      <c r="J4" s="3">
        <f>SUMIF(Table1[Customer_ID],Table1[[#This Row],[Customer_ID]],Table1[Sales])</f>
        <v>4192.32</v>
      </c>
      <c r="K4" s="6">
        <f t="shared" ca="1" si="0"/>
        <v>46120.473312499998</v>
      </c>
      <c r="N4" s="44" t="s">
        <v>26</v>
      </c>
      <c r="O4" s="45">
        <v>11576.38</v>
      </c>
      <c r="Q4" s="44" t="s">
        <v>4</v>
      </c>
      <c r="R4" s="46">
        <f>Customers_Data!E2</f>
        <v>746.97</v>
      </c>
    </row>
    <row r="5" spans="1:18" ht="15.75" customHeight="1" x14ac:dyDescent="0.35">
      <c r="A5" s="7" t="s">
        <v>27</v>
      </c>
      <c r="B5" s="7" t="s">
        <v>28</v>
      </c>
      <c r="C5" s="7" t="s">
        <v>13</v>
      </c>
      <c r="D5" s="7" t="s">
        <v>14</v>
      </c>
      <c r="E5" s="8">
        <v>410.15</v>
      </c>
      <c r="F5" s="7">
        <v>19</v>
      </c>
      <c r="G5" s="9">
        <v>0.2</v>
      </c>
      <c r="H5" s="10">
        <v>45402</v>
      </c>
      <c r="I5" s="8">
        <v>225.52</v>
      </c>
      <c r="J5" s="8">
        <f>SUMIF(Table1[Customer_ID],Table1[[#This Row],[Customer_ID]],Table1[Sales])</f>
        <v>7755.0599999999995</v>
      </c>
      <c r="K5" s="11">
        <f t="shared" ca="1" si="0"/>
        <v>46120.473312499998</v>
      </c>
      <c r="N5" s="44" t="s">
        <v>29</v>
      </c>
      <c r="O5" s="45">
        <v>11216.81</v>
      </c>
      <c r="Q5" s="44" t="s">
        <v>6</v>
      </c>
      <c r="R5" s="45">
        <v>0.1</v>
      </c>
    </row>
    <row r="6" spans="1:18" ht="15.75" customHeight="1" x14ac:dyDescent="0.35">
      <c r="A6" s="2" t="s">
        <v>30</v>
      </c>
      <c r="B6" s="2" t="s">
        <v>31</v>
      </c>
      <c r="C6" s="2" t="s">
        <v>32</v>
      </c>
      <c r="D6" s="2" t="s">
        <v>19</v>
      </c>
      <c r="E6" s="3">
        <v>410.73</v>
      </c>
      <c r="F6" s="2">
        <v>7</v>
      </c>
      <c r="G6" s="4">
        <v>0.2</v>
      </c>
      <c r="H6" s="5">
        <v>45402</v>
      </c>
      <c r="I6" s="3">
        <v>89.42</v>
      </c>
      <c r="J6" s="3">
        <f>SUMIF(Table1[Customer_ID],Table1[[#This Row],[Customer_ID]],Table1[Sales])</f>
        <v>9513.89</v>
      </c>
      <c r="K6" s="6">
        <f t="shared" ca="1" si="0"/>
        <v>46120.473312499998</v>
      </c>
      <c r="N6" s="44" t="s">
        <v>33</v>
      </c>
      <c r="O6" s="45">
        <v>11063.92</v>
      </c>
      <c r="Q6" s="44" t="s">
        <v>34</v>
      </c>
      <c r="R6" s="44">
        <f>R4*(1-R5)</f>
        <v>672.27300000000002</v>
      </c>
    </row>
    <row r="7" spans="1:18" ht="15.75" customHeight="1" x14ac:dyDescent="0.35">
      <c r="A7" s="7" t="s">
        <v>35</v>
      </c>
      <c r="B7" s="7" t="s">
        <v>36</v>
      </c>
      <c r="C7" s="7" t="s">
        <v>24</v>
      </c>
      <c r="D7" s="7" t="s">
        <v>19</v>
      </c>
      <c r="E7" s="8">
        <v>1390.08</v>
      </c>
      <c r="F7" s="7">
        <v>18</v>
      </c>
      <c r="G7" s="9">
        <v>0.1</v>
      </c>
      <c r="H7" s="10">
        <v>45406</v>
      </c>
      <c r="I7" s="8">
        <v>334.13</v>
      </c>
      <c r="J7" s="8">
        <f>SUMIF(Table1[Customer_ID],Table1[[#This Row],[Customer_ID]],Table1[Sales])</f>
        <v>10564.119999999999</v>
      </c>
      <c r="K7" s="11">
        <f t="shared" ca="1" si="0"/>
        <v>46120.473312499998</v>
      </c>
      <c r="N7" s="44" t="s">
        <v>37</v>
      </c>
      <c r="O7" s="45">
        <v>10890.76</v>
      </c>
    </row>
    <row r="8" spans="1:18" ht="15.75" customHeight="1" x14ac:dyDescent="0.35">
      <c r="A8" s="2" t="s">
        <v>27</v>
      </c>
      <c r="B8" s="2" t="s">
        <v>38</v>
      </c>
      <c r="C8" s="2" t="s">
        <v>32</v>
      </c>
      <c r="D8" s="2" t="s">
        <v>14</v>
      </c>
      <c r="E8" s="3">
        <v>1832.45</v>
      </c>
      <c r="F8" s="2">
        <v>5</v>
      </c>
      <c r="G8" s="4">
        <v>0.2</v>
      </c>
      <c r="H8" s="5">
        <v>45410</v>
      </c>
      <c r="I8" s="3">
        <v>901.76</v>
      </c>
      <c r="J8" s="3">
        <f>SUMIF(Table1[Customer_ID],Table1[[#This Row],[Customer_ID]],Table1[Sales])</f>
        <v>7755.0599999999995</v>
      </c>
      <c r="K8" s="6">
        <f t="shared" ca="1" si="0"/>
        <v>46120.473312499998</v>
      </c>
      <c r="N8" s="44" t="s">
        <v>35</v>
      </c>
      <c r="O8" s="45">
        <v>10564.12</v>
      </c>
    </row>
    <row r="9" spans="1:18" ht="15.75" customHeight="1" x14ac:dyDescent="0.35">
      <c r="A9" s="7" t="s">
        <v>39</v>
      </c>
      <c r="B9" s="7" t="s">
        <v>40</v>
      </c>
      <c r="C9" s="7" t="s">
        <v>13</v>
      </c>
      <c r="D9" s="7" t="s">
        <v>41</v>
      </c>
      <c r="E9" s="8">
        <v>381.6</v>
      </c>
      <c r="F9" s="7">
        <v>15</v>
      </c>
      <c r="G9" s="9">
        <v>0.15</v>
      </c>
      <c r="H9" s="10">
        <v>45411</v>
      </c>
      <c r="I9" s="8">
        <v>83.92</v>
      </c>
      <c r="J9" s="8">
        <f>SUMIF(Table1[Customer_ID],Table1[[#This Row],[Customer_ID]],Table1[Sales])</f>
        <v>8104.79</v>
      </c>
      <c r="K9" s="11">
        <f t="shared" ca="1" si="0"/>
        <v>46120.473312499998</v>
      </c>
      <c r="N9" s="44" t="s">
        <v>42</v>
      </c>
      <c r="O9" s="45">
        <v>10167.540000000001</v>
      </c>
    </row>
    <row r="10" spans="1:18" ht="15.75" customHeight="1" x14ac:dyDescent="0.35">
      <c r="A10" s="2" t="s">
        <v>11</v>
      </c>
      <c r="B10" s="2" t="s">
        <v>43</v>
      </c>
      <c r="C10" s="2" t="s">
        <v>13</v>
      </c>
      <c r="D10" s="2" t="s">
        <v>41</v>
      </c>
      <c r="E10" s="3">
        <v>326.63</v>
      </c>
      <c r="F10" s="2">
        <v>1</v>
      </c>
      <c r="G10" s="4">
        <v>0</v>
      </c>
      <c r="H10" s="5">
        <v>45415</v>
      </c>
      <c r="I10" s="3">
        <v>173.76</v>
      </c>
      <c r="J10" s="3">
        <f>SUMIF(Table1[Customer_ID],Table1[[#This Row],[Customer_ID]],Table1[Sales])</f>
        <v>6978.8600000000006</v>
      </c>
      <c r="K10" s="6">
        <f t="shared" ca="1" si="0"/>
        <v>46120.473312499998</v>
      </c>
      <c r="N10" s="44" t="s">
        <v>44</v>
      </c>
      <c r="O10" s="45">
        <v>9958.16</v>
      </c>
    </row>
    <row r="11" spans="1:18" ht="15.75" customHeight="1" x14ac:dyDescent="0.35">
      <c r="A11" s="7" t="s">
        <v>45</v>
      </c>
      <c r="B11" s="7" t="s">
        <v>46</v>
      </c>
      <c r="C11" s="7" t="s">
        <v>47</v>
      </c>
      <c r="D11" s="7" t="s">
        <v>25</v>
      </c>
      <c r="E11" s="8">
        <v>551.03</v>
      </c>
      <c r="F11" s="7">
        <v>17</v>
      </c>
      <c r="G11" s="9">
        <v>0.15</v>
      </c>
      <c r="H11" s="10">
        <v>45417</v>
      </c>
      <c r="I11" s="8">
        <v>217.71</v>
      </c>
      <c r="J11" s="8">
        <f>SUMIF(Table1[Customer_ID],Table1[[#This Row],[Customer_ID]],Table1[Sales])</f>
        <v>8044.2</v>
      </c>
      <c r="K11" s="11">
        <f t="shared" ca="1" si="0"/>
        <v>46120.473312499998</v>
      </c>
      <c r="N11" s="44" t="s">
        <v>30</v>
      </c>
      <c r="O11" s="45">
        <v>9513.89</v>
      </c>
    </row>
    <row r="12" spans="1:18" ht="15.75" customHeight="1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3">
        <v>1763.1</v>
      </c>
      <c r="F12" s="2">
        <v>2</v>
      </c>
      <c r="G12" s="4">
        <v>0.1</v>
      </c>
      <c r="H12" s="5">
        <v>45420</v>
      </c>
      <c r="I12" s="3">
        <v>533.65</v>
      </c>
      <c r="J12" s="3">
        <f>SUMIF(Table1[Customer_ID],Table1[[#This Row],[Customer_ID]],Table1[Sales])</f>
        <v>4157.53</v>
      </c>
      <c r="K12" s="6">
        <f t="shared" ca="1" si="0"/>
        <v>46120.473312499998</v>
      </c>
      <c r="N12" s="44" t="s">
        <v>52</v>
      </c>
      <c r="O12" s="45">
        <v>8197.9599999999991</v>
      </c>
    </row>
    <row r="13" spans="1:18" ht="15.75" customHeight="1" x14ac:dyDescent="0.35">
      <c r="A13" s="7" t="s">
        <v>11</v>
      </c>
      <c r="B13" s="7" t="s">
        <v>53</v>
      </c>
      <c r="C13" s="7" t="s">
        <v>24</v>
      </c>
      <c r="D13" s="7" t="s">
        <v>51</v>
      </c>
      <c r="E13" s="8">
        <v>333.67</v>
      </c>
      <c r="F13" s="7">
        <v>13</v>
      </c>
      <c r="G13" s="9">
        <v>0.2</v>
      </c>
      <c r="H13" s="10">
        <v>45420</v>
      </c>
      <c r="I13" s="8">
        <v>67.63</v>
      </c>
      <c r="J13" s="8">
        <f>SUMIF(Table1[Customer_ID],Table1[[#This Row],[Customer_ID]],Table1[Sales])</f>
        <v>6978.8600000000006</v>
      </c>
      <c r="K13" s="11">
        <f t="shared" ca="1" si="0"/>
        <v>46120.473312499998</v>
      </c>
      <c r="N13" s="44" t="s">
        <v>39</v>
      </c>
      <c r="O13" s="45">
        <v>8104.79</v>
      </c>
    </row>
    <row r="14" spans="1:18" ht="15.75" customHeight="1" x14ac:dyDescent="0.35">
      <c r="A14" s="2" t="s">
        <v>48</v>
      </c>
      <c r="B14" s="2" t="s">
        <v>54</v>
      </c>
      <c r="C14" s="2" t="s">
        <v>47</v>
      </c>
      <c r="D14" s="2" t="s">
        <v>19</v>
      </c>
      <c r="E14" s="3">
        <v>1036.06</v>
      </c>
      <c r="F14" s="2">
        <v>2</v>
      </c>
      <c r="G14" s="4">
        <v>0</v>
      </c>
      <c r="H14" s="5">
        <v>45423</v>
      </c>
      <c r="I14" s="3">
        <v>353.21</v>
      </c>
      <c r="J14" s="3">
        <f>SUMIF(Table1[Customer_ID],Table1[[#This Row],[Customer_ID]],Table1[Sales])</f>
        <v>4157.53</v>
      </c>
      <c r="K14" s="6">
        <f t="shared" ca="1" si="0"/>
        <v>46120.473312499998</v>
      </c>
    </row>
    <row r="15" spans="1:18" ht="15.75" customHeight="1" x14ac:dyDescent="0.35">
      <c r="A15" s="7" t="s">
        <v>26</v>
      </c>
      <c r="B15" s="7" t="s">
        <v>55</v>
      </c>
      <c r="C15" s="7" t="s">
        <v>32</v>
      </c>
      <c r="D15" s="7" t="s">
        <v>51</v>
      </c>
      <c r="E15" s="8">
        <v>1825.81</v>
      </c>
      <c r="F15" s="7">
        <v>16</v>
      </c>
      <c r="G15" s="9">
        <v>0</v>
      </c>
      <c r="H15" s="10">
        <v>45425</v>
      </c>
      <c r="I15" s="8">
        <v>621.23</v>
      </c>
      <c r="J15" s="8">
        <f>SUMIF(Table1[Customer_ID],Table1[[#This Row],[Customer_ID]],Table1[Sales])</f>
        <v>11576.38</v>
      </c>
      <c r="K15" s="11">
        <f t="shared" ca="1" si="0"/>
        <v>46120.473312499998</v>
      </c>
    </row>
    <row r="16" spans="1:18" ht="15.75" customHeight="1" x14ac:dyDescent="0.35">
      <c r="A16" s="2" t="s">
        <v>30</v>
      </c>
      <c r="B16" s="2" t="s">
        <v>56</v>
      </c>
      <c r="C16" s="2" t="s">
        <v>47</v>
      </c>
      <c r="D16" s="2" t="s">
        <v>51</v>
      </c>
      <c r="E16" s="3">
        <v>680.58</v>
      </c>
      <c r="F16" s="2">
        <v>1</v>
      </c>
      <c r="G16" s="4">
        <v>0.1</v>
      </c>
      <c r="H16" s="5">
        <v>45426</v>
      </c>
      <c r="I16" s="3">
        <v>218.25</v>
      </c>
      <c r="J16" s="3">
        <f>SUMIF(Table1[Customer_ID],Table1[[#This Row],[Customer_ID]],Table1[Sales])</f>
        <v>9513.89</v>
      </c>
      <c r="K16" s="6">
        <f t="shared" ca="1" si="0"/>
        <v>46120.473312499998</v>
      </c>
    </row>
    <row r="17" spans="1:11" ht="15.75" customHeight="1" x14ac:dyDescent="0.35">
      <c r="A17" s="7" t="s">
        <v>44</v>
      </c>
      <c r="B17" s="7" t="s">
        <v>57</v>
      </c>
      <c r="C17" s="7" t="s">
        <v>24</v>
      </c>
      <c r="D17" s="7" t="s">
        <v>14</v>
      </c>
      <c r="E17" s="8">
        <v>836.44</v>
      </c>
      <c r="F17" s="7">
        <v>14</v>
      </c>
      <c r="G17" s="9">
        <v>0.1</v>
      </c>
      <c r="H17" s="10">
        <v>45427</v>
      </c>
      <c r="I17" s="8">
        <v>315.41000000000003</v>
      </c>
      <c r="J17" s="8">
        <f>SUMIF(Table1[Customer_ID],Table1[[#This Row],[Customer_ID]],Table1[Sales])</f>
        <v>9958.1600000000017</v>
      </c>
      <c r="K17" s="11">
        <f t="shared" ca="1" si="0"/>
        <v>46120.473312499998</v>
      </c>
    </row>
    <row r="18" spans="1:11" ht="15.75" customHeight="1" x14ac:dyDescent="0.35">
      <c r="A18" s="2" t="s">
        <v>58</v>
      </c>
      <c r="B18" s="2" t="s">
        <v>59</v>
      </c>
      <c r="C18" s="2" t="s">
        <v>32</v>
      </c>
      <c r="D18" s="2" t="s">
        <v>25</v>
      </c>
      <c r="E18" s="3">
        <v>737.98</v>
      </c>
      <c r="F18" s="2">
        <v>10</v>
      </c>
      <c r="G18" s="4">
        <v>0.15</v>
      </c>
      <c r="H18" s="5">
        <v>45428</v>
      </c>
      <c r="I18" s="3">
        <v>325.14</v>
      </c>
      <c r="J18" s="3">
        <f>SUMIF(Table1[Customer_ID],Table1[[#This Row],[Customer_ID]],Table1[Sales])</f>
        <v>5289.4699999999993</v>
      </c>
      <c r="K18" s="6">
        <f t="shared" ca="1" si="0"/>
        <v>46120.473312499998</v>
      </c>
    </row>
    <row r="19" spans="1:11" ht="15.75" customHeight="1" x14ac:dyDescent="0.35">
      <c r="A19" s="7" t="s">
        <v>35</v>
      </c>
      <c r="B19" s="7" t="s">
        <v>60</v>
      </c>
      <c r="C19" s="7" t="s">
        <v>47</v>
      </c>
      <c r="D19" s="7" t="s">
        <v>41</v>
      </c>
      <c r="E19" s="8">
        <v>942.38</v>
      </c>
      <c r="F19" s="7">
        <v>14</v>
      </c>
      <c r="G19" s="9">
        <v>0.2</v>
      </c>
      <c r="H19" s="10">
        <v>45429</v>
      </c>
      <c r="I19" s="8">
        <v>229.81</v>
      </c>
      <c r="J19" s="8">
        <f>SUMIF(Table1[Customer_ID],Table1[[#This Row],[Customer_ID]],Table1[Sales])</f>
        <v>10564.119999999999</v>
      </c>
      <c r="K19" s="11">
        <f t="shared" ca="1" si="0"/>
        <v>46120.473312499998</v>
      </c>
    </row>
    <row r="20" spans="1:11" ht="15.75" customHeight="1" x14ac:dyDescent="0.35">
      <c r="A20" s="2" t="s">
        <v>26</v>
      </c>
      <c r="B20" s="2" t="s">
        <v>61</v>
      </c>
      <c r="C20" s="2" t="s">
        <v>47</v>
      </c>
      <c r="D20" s="2" t="s">
        <v>14</v>
      </c>
      <c r="E20" s="3">
        <v>1461.59</v>
      </c>
      <c r="F20" s="2">
        <v>14</v>
      </c>
      <c r="G20" s="4">
        <v>0.05</v>
      </c>
      <c r="H20" s="5">
        <v>45430</v>
      </c>
      <c r="I20" s="3">
        <v>532.49</v>
      </c>
      <c r="J20" s="3">
        <f>SUMIF(Table1[Customer_ID],Table1[[#This Row],[Customer_ID]],Table1[Sales])</f>
        <v>11576.38</v>
      </c>
      <c r="K20" s="6">
        <f t="shared" ca="1" si="0"/>
        <v>46120.473312499998</v>
      </c>
    </row>
    <row r="21" spans="1:11" ht="15.75" customHeight="1" x14ac:dyDescent="0.35">
      <c r="A21" s="7" t="s">
        <v>45</v>
      </c>
      <c r="B21" s="7" t="s">
        <v>23</v>
      </c>
      <c r="C21" s="7" t="s">
        <v>13</v>
      </c>
      <c r="D21" s="7" t="s">
        <v>25</v>
      </c>
      <c r="E21" s="8">
        <v>629.87</v>
      </c>
      <c r="F21" s="7">
        <v>4</v>
      </c>
      <c r="G21" s="9">
        <v>0.2</v>
      </c>
      <c r="H21" s="10">
        <v>45436</v>
      </c>
      <c r="I21" s="8">
        <v>256.14999999999998</v>
      </c>
      <c r="J21" s="8">
        <f>SUMIF(Table1[Customer_ID],Table1[[#This Row],[Customer_ID]],Table1[Sales])</f>
        <v>8044.2</v>
      </c>
      <c r="K21" s="11">
        <f t="shared" ca="1" si="0"/>
        <v>46120.473312499998</v>
      </c>
    </row>
    <row r="22" spans="1:11" ht="15.75" customHeight="1" x14ac:dyDescent="0.35">
      <c r="A22" s="2" t="s">
        <v>29</v>
      </c>
      <c r="B22" s="2" t="s">
        <v>62</v>
      </c>
      <c r="C22" s="2" t="s">
        <v>32</v>
      </c>
      <c r="D22" s="2" t="s">
        <v>41</v>
      </c>
      <c r="E22" s="3">
        <v>371.99</v>
      </c>
      <c r="F22" s="2">
        <v>10</v>
      </c>
      <c r="G22" s="4">
        <v>0.05</v>
      </c>
      <c r="H22" s="5">
        <v>45438</v>
      </c>
      <c r="I22" s="3">
        <v>130.9</v>
      </c>
      <c r="J22" s="3">
        <f>SUMIF(Table1[Customer_ID],Table1[[#This Row],[Customer_ID]],Table1[Sales])</f>
        <v>11216.81</v>
      </c>
      <c r="K22" s="6">
        <f t="shared" ca="1" si="0"/>
        <v>46120.473312499998</v>
      </c>
    </row>
    <row r="23" spans="1:11" ht="15.75" customHeight="1" x14ac:dyDescent="0.35">
      <c r="A23" s="7" t="s">
        <v>63</v>
      </c>
      <c r="B23" s="7" t="s">
        <v>64</v>
      </c>
      <c r="C23" s="7" t="s">
        <v>24</v>
      </c>
      <c r="D23" s="7" t="s">
        <v>14</v>
      </c>
      <c r="E23" s="8">
        <v>342.28</v>
      </c>
      <c r="F23" s="7">
        <v>18</v>
      </c>
      <c r="G23" s="9">
        <v>0</v>
      </c>
      <c r="H23" s="10">
        <v>45439</v>
      </c>
      <c r="I23" s="8">
        <v>179.43</v>
      </c>
      <c r="J23" s="8">
        <f>SUMIF(Table1[Customer_ID],Table1[[#This Row],[Customer_ID]],Table1[Sales])</f>
        <v>7264.36</v>
      </c>
      <c r="K23" s="11">
        <f t="shared" ca="1" si="0"/>
        <v>46120.473312499998</v>
      </c>
    </row>
    <row r="24" spans="1:11" ht="15.75" customHeight="1" x14ac:dyDescent="0.35">
      <c r="A24" s="2" t="s">
        <v>65</v>
      </c>
      <c r="B24" s="2" t="s">
        <v>66</v>
      </c>
      <c r="C24" s="2" t="s">
        <v>13</v>
      </c>
      <c r="D24" s="2" t="s">
        <v>41</v>
      </c>
      <c r="E24" s="3">
        <v>1363.98</v>
      </c>
      <c r="F24" s="2">
        <v>20</v>
      </c>
      <c r="G24" s="4">
        <v>0.1</v>
      </c>
      <c r="H24" s="5">
        <v>45439</v>
      </c>
      <c r="I24" s="3">
        <v>663.51</v>
      </c>
      <c r="J24" s="3">
        <f>SUMIF(Table1[Customer_ID],Table1[[#This Row],[Customer_ID]],Table1[Sales])</f>
        <v>7997.8099999999995</v>
      </c>
      <c r="K24" s="6">
        <f t="shared" ca="1" si="0"/>
        <v>46120.473312499998</v>
      </c>
    </row>
    <row r="25" spans="1:11" ht="15.75" customHeight="1" x14ac:dyDescent="0.35">
      <c r="A25" s="7" t="s">
        <v>52</v>
      </c>
      <c r="B25" s="7" t="s">
        <v>67</v>
      </c>
      <c r="C25" s="7" t="s">
        <v>13</v>
      </c>
      <c r="D25" s="7" t="s">
        <v>14</v>
      </c>
      <c r="E25" s="8">
        <v>273.52</v>
      </c>
      <c r="F25" s="7">
        <v>20</v>
      </c>
      <c r="G25" s="9">
        <v>0.2</v>
      </c>
      <c r="H25" s="10">
        <v>45443</v>
      </c>
      <c r="I25" s="8">
        <v>61.72</v>
      </c>
      <c r="J25" s="8">
        <f>SUMIF(Table1[Customer_ID],Table1[[#This Row],[Customer_ID]],Table1[Sales])</f>
        <v>8197.9599999999991</v>
      </c>
      <c r="K25" s="11">
        <f t="shared" ca="1" si="0"/>
        <v>46120.473312499998</v>
      </c>
    </row>
    <row r="26" spans="1:11" ht="15.75" customHeight="1" x14ac:dyDescent="0.35">
      <c r="A26" s="2" t="s">
        <v>45</v>
      </c>
      <c r="B26" s="2" t="s">
        <v>68</v>
      </c>
      <c r="C26" s="2" t="s">
        <v>32</v>
      </c>
      <c r="D26" s="2" t="s">
        <v>25</v>
      </c>
      <c r="E26" s="3">
        <v>1094.82</v>
      </c>
      <c r="F26" s="2">
        <v>19</v>
      </c>
      <c r="G26" s="4">
        <v>0.1</v>
      </c>
      <c r="H26" s="5">
        <v>45443</v>
      </c>
      <c r="I26" s="3">
        <v>553.94000000000005</v>
      </c>
      <c r="J26" s="3">
        <f>SUMIF(Table1[Customer_ID],Table1[[#This Row],[Customer_ID]],Table1[Sales])</f>
        <v>8044.2</v>
      </c>
      <c r="K26" s="6">
        <f t="shared" ca="1" si="0"/>
        <v>46120.473312499998</v>
      </c>
    </row>
    <row r="27" spans="1:11" ht="15.75" customHeight="1" x14ac:dyDescent="0.35">
      <c r="A27" s="7" t="s">
        <v>37</v>
      </c>
      <c r="B27" s="7" t="s">
        <v>69</v>
      </c>
      <c r="C27" s="7" t="s">
        <v>24</v>
      </c>
      <c r="D27" s="7" t="s">
        <v>25</v>
      </c>
      <c r="E27" s="8">
        <v>515.78</v>
      </c>
      <c r="F27" s="7">
        <v>16</v>
      </c>
      <c r="G27" s="9">
        <v>0.05</v>
      </c>
      <c r="H27" s="10">
        <v>45447</v>
      </c>
      <c r="I27" s="8">
        <v>166.36</v>
      </c>
      <c r="J27" s="8">
        <f>SUMIF(Table1[Customer_ID],Table1[[#This Row],[Customer_ID]],Table1[Sales])</f>
        <v>10890.76</v>
      </c>
      <c r="K27" s="11">
        <f t="shared" ca="1" si="0"/>
        <v>46120.473312499998</v>
      </c>
    </row>
    <row r="28" spans="1:11" ht="15.75" customHeight="1" x14ac:dyDescent="0.35">
      <c r="A28" s="2" t="s">
        <v>37</v>
      </c>
      <c r="B28" s="2" t="s">
        <v>70</v>
      </c>
      <c r="C28" s="2" t="s">
        <v>24</v>
      </c>
      <c r="D28" s="2" t="s">
        <v>14</v>
      </c>
      <c r="E28" s="3">
        <v>1255.8399999999999</v>
      </c>
      <c r="F28" s="2">
        <v>16</v>
      </c>
      <c r="G28" s="4">
        <v>0</v>
      </c>
      <c r="H28" s="5">
        <v>45449</v>
      </c>
      <c r="I28" s="3">
        <v>659.55</v>
      </c>
      <c r="J28" s="3">
        <f>SUMIF(Table1[Customer_ID],Table1[[#This Row],[Customer_ID]],Table1[Sales])</f>
        <v>10890.76</v>
      </c>
      <c r="K28" s="6">
        <f t="shared" ca="1" si="0"/>
        <v>46120.473312499998</v>
      </c>
    </row>
    <row r="29" spans="1:11" ht="15.75" customHeight="1" x14ac:dyDescent="0.35">
      <c r="A29" s="7" t="s">
        <v>42</v>
      </c>
      <c r="B29" s="7" t="s">
        <v>71</v>
      </c>
      <c r="C29" s="7" t="s">
        <v>13</v>
      </c>
      <c r="D29" s="7" t="s">
        <v>51</v>
      </c>
      <c r="E29" s="8">
        <v>642.08000000000004</v>
      </c>
      <c r="F29" s="7">
        <v>7</v>
      </c>
      <c r="G29" s="9">
        <v>0.1</v>
      </c>
      <c r="H29" s="10">
        <v>45453</v>
      </c>
      <c r="I29" s="8">
        <v>295.36</v>
      </c>
      <c r="J29" s="8">
        <f>SUMIF(Table1[Customer_ID],Table1[[#This Row],[Customer_ID]],Table1[Sales])</f>
        <v>10167.539999999999</v>
      </c>
      <c r="K29" s="11">
        <f t="shared" ca="1" si="0"/>
        <v>46120.473312499998</v>
      </c>
    </row>
    <row r="30" spans="1:11" ht="15.75" customHeight="1" x14ac:dyDescent="0.35">
      <c r="A30" s="2" t="s">
        <v>52</v>
      </c>
      <c r="B30" s="2" t="s">
        <v>72</v>
      </c>
      <c r="C30" s="2" t="s">
        <v>47</v>
      </c>
      <c r="D30" s="2" t="s">
        <v>51</v>
      </c>
      <c r="E30" s="3">
        <v>1181.8599999999999</v>
      </c>
      <c r="F30" s="2">
        <v>4</v>
      </c>
      <c r="G30" s="4">
        <v>0.2</v>
      </c>
      <c r="H30" s="5">
        <v>45455</v>
      </c>
      <c r="I30" s="3">
        <v>354.29</v>
      </c>
      <c r="J30" s="3">
        <f>SUMIF(Table1[Customer_ID],Table1[[#This Row],[Customer_ID]],Table1[Sales])</f>
        <v>8197.9599999999991</v>
      </c>
      <c r="K30" s="6">
        <f t="shared" ca="1" si="0"/>
        <v>46120.473312499998</v>
      </c>
    </row>
    <row r="31" spans="1:11" ht="15.75" customHeight="1" x14ac:dyDescent="0.35">
      <c r="A31" s="7" t="s">
        <v>45</v>
      </c>
      <c r="B31" s="7" t="s">
        <v>73</v>
      </c>
      <c r="C31" s="7" t="s">
        <v>13</v>
      </c>
      <c r="D31" s="7" t="s">
        <v>14</v>
      </c>
      <c r="E31" s="8">
        <v>1700.42</v>
      </c>
      <c r="F31" s="7">
        <v>11</v>
      </c>
      <c r="G31" s="9">
        <v>0.1</v>
      </c>
      <c r="H31" s="10">
        <v>45455</v>
      </c>
      <c r="I31" s="8">
        <v>815.81</v>
      </c>
      <c r="J31" s="8">
        <f>SUMIF(Table1[Customer_ID],Table1[[#This Row],[Customer_ID]],Table1[Sales])</f>
        <v>8044.2</v>
      </c>
      <c r="K31" s="11">
        <f t="shared" ca="1" si="0"/>
        <v>46120.473312499998</v>
      </c>
    </row>
    <row r="32" spans="1:11" ht="15.75" customHeight="1" x14ac:dyDescent="0.35">
      <c r="A32" s="2" t="s">
        <v>48</v>
      </c>
      <c r="B32" s="2" t="s">
        <v>73</v>
      </c>
      <c r="C32" s="2" t="s">
        <v>50</v>
      </c>
      <c r="D32" s="2" t="s">
        <v>51</v>
      </c>
      <c r="E32" s="3">
        <v>556.95000000000005</v>
      </c>
      <c r="F32" s="2">
        <v>1</v>
      </c>
      <c r="G32" s="4">
        <v>0.2</v>
      </c>
      <c r="H32" s="5">
        <v>45456</v>
      </c>
      <c r="I32" s="3">
        <v>164.86</v>
      </c>
      <c r="J32" s="3">
        <f>SUMIF(Table1[Customer_ID],Table1[[#This Row],[Customer_ID]],Table1[Sales])</f>
        <v>4157.53</v>
      </c>
      <c r="K32" s="6">
        <f t="shared" ca="1" si="0"/>
        <v>46120.473312499998</v>
      </c>
    </row>
    <row r="33" spans="1:11" ht="15.75" customHeight="1" x14ac:dyDescent="0.35">
      <c r="A33" s="7" t="s">
        <v>37</v>
      </c>
      <c r="B33" s="7" t="s">
        <v>74</v>
      </c>
      <c r="C33" s="7" t="s">
        <v>32</v>
      </c>
      <c r="D33" s="7" t="s">
        <v>25</v>
      </c>
      <c r="E33" s="8">
        <v>1671.88</v>
      </c>
      <c r="F33" s="7">
        <v>15</v>
      </c>
      <c r="G33" s="9">
        <v>0</v>
      </c>
      <c r="H33" s="10">
        <v>45456</v>
      </c>
      <c r="I33" s="8">
        <v>373.72</v>
      </c>
      <c r="J33" s="8">
        <f>SUMIF(Table1[Customer_ID],Table1[[#This Row],[Customer_ID]],Table1[Sales])</f>
        <v>10890.76</v>
      </c>
      <c r="K33" s="11">
        <f t="shared" ca="1" si="0"/>
        <v>46120.473312499998</v>
      </c>
    </row>
    <row r="34" spans="1:11" ht="15.75" customHeight="1" x14ac:dyDescent="0.35">
      <c r="A34" s="2" t="s">
        <v>48</v>
      </c>
      <c r="B34" s="2" t="s">
        <v>75</v>
      </c>
      <c r="C34" s="2" t="s">
        <v>13</v>
      </c>
      <c r="D34" s="2" t="s">
        <v>19</v>
      </c>
      <c r="E34" s="3">
        <v>801.42</v>
      </c>
      <c r="F34" s="2">
        <v>10</v>
      </c>
      <c r="G34" s="4">
        <v>0.2</v>
      </c>
      <c r="H34" s="5">
        <v>45457</v>
      </c>
      <c r="I34" s="3">
        <v>214.09</v>
      </c>
      <c r="J34" s="3">
        <f>SUMIF(Table1[Customer_ID],Table1[[#This Row],[Customer_ID]],Table1[Sales])</f>
        <v>4157.53</v>
      </c>
      <c r="K34" s="6">
        <f t="shared" ref="K34:K65" ca="1" si="1">NOW()</f>
        <v>46120.473312499998</v>
      </c>
    </row>
    <row r="35" spans="1:11" ht="15.75" customHeight="1" x14ac:dyDescent="0.35">
      <c r="A35" s="7" t="s">
        <v>42</v>
      </c>
      <c r="B35" s="7" t="s">
        <v>76</v>
      </c>
      <c r="C35" s="7" t="s">
        <v>24</v>
      </c>
      <c r="D35" s="7" t="s">
        <v>14</v>
      </c>
      <c r="E35" s="8">
        <v>773.76</v>
      </c>
      <c r="F35" s="7">
        <v>13</v>
      </c>
      <c r="G35" s="9">
        <v>0.1</v>
      </c>
      <c r="H35" s="10">
        <v>45457</v>
      </c>
      <c r="I35" s="8">
        <v>336.23</v>
      </c>
      <c r="J35" s="8">
        <f>SUMIF(Table1[Customer_ID],Table1[[#This Row],[Customer_ID]],Table1[Sales])</f>
        <v>10167.539999999999</v>
      </c>
      <c r="K35" s="11">
        <f t="shared" ca="1" si="1"/>
        <v>46120.473312499998</v>
      </c>
    </row>
    <row r="36" spans="1:11" ht="15.75" customHeight="1" x14ac:dyDescent="0.35">
      <c r="A36" s="2" t="s">
        <v>37</v>
      </c>
      <c r="B36" s="2" t="s">
        <v>18</v>
      </c>
      <c r="C36" s="2" t="s">
        <v>13</v>
      </c>
      <c r="D36" s="2" t="s">
        <v>51</v>
      </c>
      <c r="E36" s="3">
        <v>1503.3</v>
      </c>
      <c r="F36" s="2">
        <v>6</v>
      </c>
      <c r="G36" s="4">
        <v>0.05</v>
      </c>
      <c r="H36" s="5">
        <v>45459</v>
      </c>
      <c r="I36" s="3">
        <v>714.49</v>
      </c>
      <c r="J36" s="3">
        <f>SUMIF(Table1[Customer_ID],Table1[[#This Row],[Customer_ID]],Table1[Sales])</f>
        <v>10890.76</v>
      </c>
      <c r="K36" s="6">
        <f t="shared" ca="1" si="1"/>
        <v>46120.473312499998</v>
      </c>
    </row>
    <row r="37" spans="1:11" ht="15.75" customHeight="1" x14ac:dyDescent="0.35">
      <c r="A37" s="7" t="s">
        <v>26</v>
      </c>
      <c r="B37" s="7" t="s">
        <v>77</v>
      </c>
      <c r="C37" s="7" t="s">
        <v>50</v>
      </c>
      <c r="D37" s="7" t="s">
        <v>51</v>
      </c>
      <c r="E37" s="8">
        <v>817.52</v>
      </c>
      <c r="F37" s="7">
        <v>18</v>
      </c>
      <c r="G37" s="9">
        <v>0</v>
      </c>
      <c r="H37" s="10">
        <v>45462</v>
      </c>
      <c r="I37" s="8">
        <v>206.66</v>
      </c>
      <c r="J37" s="8">
        <f>SUMIF(Table1[Customer_ID],Table1[[#This Row],[Customer_ID]],Table1[Sales])</f>
        <v>11576.38</v>
      </c>
      <c r="K37" s="11">
        <f t="shared" ca="1" si="1"/>
        <v>46120.473312499998</v>
      </c>
    </row>
    <row r="38" spans="1:11" ht="15.75" customHeight="1" x14ac:dyDescent="0.35">
      <c r="A38" s="2" t="s">
        <v>37</v>
      </c>
      <c r="B38" s="2" t="s">
        <v>78</v>
      </c>
      <c r="C38" s="2" t="s">
        <v>13</v>
      </c>
      <c r="D38" s="2" t="s">
        <v>14</v>
      </c>
      <c r="E38" s="3">
        <v>1656.07</v>
      </c>
      <c r="F38" s="2">
        <v>11</v>
      </c>
      <c r="G38" s="4">
        <v>0.05</v>
      </c>
      <c r="H38" s="5">
        <v>45462</v>
      </c>
      <c r="I38" s="3">
        <v>353.42</v>
      </c>
      <c r="J38" s="3">
        <f>SUMIF(Table1[Customer_ID],Table1[[#This Row],[Customer_ID]],Table1[Sales])</f>
        <v>10890.76</v>
      </c>
      <c r="K38" s="6">
        <f t="shared" ca="1" si="1"/>
        <v>46120.473312499998</v>
      </c>
    </row>
    <row r="39" spans="1:11" ht="15.75" customHeight="1" x14ac:dyDescent="0.35">
      <c r="A39" s="7" t="s">
        <v>65</v>
      </c>
      <c r="B39" s="7" t="s">
        <v>79</v>
      </c>
      <c r="C39" s="7" t="s">
        <v>24</v>
      </c>
      <c r="D39" s="7" t="s">
        <v>25</v>
      </c>
      <c r="E39" s="8">
        <v>793.66</v>
      </c>
      <c r="F39" s="7">
        <v>16</v>
      </c>
      <c r="G39" s="9">
        <v>0.2</v>
      </c>
      <c r="H39" s="10">
        <v>45469</v>
      </c>
      <c r="I39" s="8">
        <v>424.77</v>
      </c>
      <c r="J39" s="8">
        <f>SUMIF(Table1[Customer_ID],Table1[[#This Row],[Customer_ID]],Table1[Sales])</f>
        <v>7997.8099999999995</v>
      </c>
      <c r="K39" s="11">
        <f t="shared" ca="1" si="1"/>
        <v>46120.473312499998</v>
      </c>
    </row>
    <row r="40" spans="1:11" ht="15.75" customHeight="1" x14ac:dyDescent="0.35">
      <c r="A40" s="2" t="s">
        <v>80</v>
      </c>
      <c r="B40" s="2" t="s">
        <v>81</v>
      </c>
      <c r="C40" s="2" t="s">
        <v>47</v>
      </c>
      <c r="D40" s="2" t="s">
        <v>14</v>
      </c>
      <c r="E40" s="3">
        <v>980.25</v>
      </c>
      <c r="F40" s="2">
        <v>12</v>
      </c>
      <c r="G40" s="4">
        <v>0.15</v>
      </c>
      <c r="H40" s="5">
        <v>45470</v>
      </c>
      <c r="I40" s="3">
        <v>345.46</v>
      </c>
      <c r="J40" s="3">
        <f>SUMIF(Table1[Customer_ID],Table1[[#This Row],[Customer_ID]],Table1[Sales])</f>
        <v>6436.7800000000007</v>
      </c>
      <c r="K40" s="6">
        <f t="shared" ca="1" si="1"/>
        <v>46120.473312499998</v>
      </c>
    </row>
    <row r="41" spans="1:11" ht="15.75" customHeight="1" x14ac:dyDescent="0.35">
      <c r="A41" s="7" t="s">
        <v>30</v>
      </c>
      <c r="B41" s="7" t="s">
        <v>82</v>
      </c>
      <c r="C41" s="7" t="s">
        <v>13</v>
      </c>
      <c r="D41" s="7" t="s">
        <v>19</v>
      </c>
      <c r="E41" s="8">
        <v>1418.52</v>
      </c>
      <c r="F41" s="7">
        <v>18</v>
      </c>
      <c r="G41" s="9">
        <v>0.15</v>
      </c>
      <c r="H41" s="10">
        <v>45471</v>
      </c>
      <c r="I41" s="8">
        <v>377.98</v>
      </c>
      <c r="J41" s="8">
        <f>SUMIF(Table1[Customer_ID],Table1[[#This Row],[Customer_ID]],Table1[Sales])</f>
        <v>9513.89</v>
      </c>
      <c r="K41" s="11">
        <f t="shared" ca="1" si="1"/>
        <v>46120.473312499998</v>
      </c>
    </row>
    <row r="42" spans="1:11" ht="15.75" customHeight="1" x14ac:dyDescent="0.35">
      <c r="A42" s="2" t="s">
        <v>26</v>
      </c>
      <c r="B42" s="2" t="s">
        <v>83</v>
      </c>
      <c r="C42" s="2" t="s">
        <v>13</v>
      </c>
      <c r="D42" s="2" t="s">
        <v>14</v>
      </c>
      <c r="E42" s="3">
        <v>1174.3</v>
      </c>
      <c r="F42" s="2">
        <v>10</v>
      </c>
      <c r="G42" s="4">
        <v>0.1</v>
      </c>
      <c r="H42" s="5">
        <v>45472</v>
      </c>
      <c r="I42" s="3">
        <v>527.41999999999996</v>
      </c>
      <c r="J42" s="3">
        <f>SUMIF(Table1[Customer_ID],Table1[[#This Row],[Customer_ID]],Table1[Sales])</f>
        <v>11576.38</v>
      </c>
      <c r="K42" s="6">
        <f t="shared" ca="1" si="1"/>
        <v>46120.473312499998</v>
      </c>
    </row>
    <row r="43" spans="1:11" ht="15.75" customHeight="1" x14ac:dyDescent="0.35">
      <c r="A43" s="7" t="s">
        <v>29</v>
      </c>
      <c r="B43" s="7" t="s">
        <v>84</v>
      </c>
      <c r="C43" s="7" t="s">
        <v>24</v>
      </c>
      <c r="D43" s="7" t="s">
        <v>19</v>
      </c>
      <c r="E43" s="8">
        <v>1641.73</v>
      </c>
      <c r="F43" s="7">
        <v>18</v>
      </c>
      <c r="G43" s="9">
        <v>0.15</v>
      </c>
      <c r="H43" s="10">
        <v>45473</v>
      </c>
      <c r="I43" s="8">
        <v>755.65</v>
      </c>
      <c r="J43" s="8">
        <f>SUMIF(Table1[Customer_ID],Table1[[#This Row],[Customer_ID]],Table1[Sales])</f>
        <v>11216.81</v>
      </c>
      <c r="K43" s="11">
        <f t="shared" ca="1" si="1"/>
        <v>46120.473312499998</v>
      </c>
    </row>
    <row r="44" spans="1:11" ht="15.75" customHeight="1" x14ac:dyDescent="0.35">
      <c r="A44" s="2" t="s">
        <v>27</v>
      </c>
      <c r="B44" s="2" t="s">
        <v>85</v>
      </c>
      <c r="C44" s="2" t="s">
        <v>47</v>
      </c>
      <c r="D44" s="2" t="s">
        <v>51</v>
      </c>
      <c r="E44" s="3">
        <v>938.31</v>
      </c>
      <c r="F44" s="2">
        <v>11</v>
      </c>
      <c r="G44" s="4">
        <v>0</v>
      </c>
      <c r="H44" s="5">
        <v>45474</v>
      </c>
      <c r="I44" s="3">
        <v>295.97000000000003</v>
      </c>
      <c r="J44" s="3">
        <f>SUMIF(Table1[Customer_ID],Table1[[#This Row],[Customer_ID]],Table1[Sales])</f>
        <v>7755.0599999999995</v>
      </c>
      <c r="K44" s="6">
        <f t="shared" ca="1" si="1"/>
        <v>46120.473312499998</v>
      </c>
    </row>
    <row r="45" spans="1:11" ht="15.75" customHeight="1" x14ac:dyDescent="0.35">
      <c r="A45" s="7" t="s">
        <v>52</v>
      </c>
      <c r="B45" s="7" t="s">
        <v>86</v>
      </c>
      <c r="C45" s="7" t="s">
        <v>32</v>
      </c>
      <c r="D45" s="7" t="s">
        <v>14</v>
      </c>
      <c r="E45" s="8">
        <v>1121.1600000000001</v>
      </c>
      <c r="F45" s="7">
        <v>10</v>
      </c>
      <c r="G45" s="9">
        <v>0.05</v>
      </c>
      <c r="H45" s="10">
        <v>45474</v>
      </c>
      <c r="I45" s="8">
        <v>350.85</v>
      </c>
      <c r="J45" s="8">
        <f>SUMIF(Table1[Customer_ID],Table1[[#This Row],[Customer_ID]],Table1[Sales])</f>
        <v>8197.9599999999991</v>
      </c>
      <c r="K45" s="11">
        <f t="shared" ca="1" si="1"/>
        <v>46120.473312499998</v>
      </c>
    </row>
    <row r="46" spans="1:11" ht="15.75" customHeight="1" x14ac:dyDescent="0.35">
      <c r="A46" s="2" t="s">
        <v>63</v>
      </c>
      <c r="B46" s="2" t="s">
        <v>87</v>
      </c>
      <c r="C46" s="2" t="s">
        <v>24</v>
      </c>
      <c r="D46" s="2" t="s">
        <v>19</v>
      </c>
      <c r="E46" s="3">
        <v>1880.41</v>
      </c>
      <c r="F46" s="2">
        <v>5</v>
      </c>
      <c r="G46" s="4">
        <v>0.05</v>
      </c>
      <c r="H46" s="5">
        <v>45475</v>
      </c>
      <c r="I46" s="3">
        <v>1018.57</v>
      </c>
      <c r="J46" s="3">
        <f>SUMIF(Table1[Customer_ID],Table1[[#This Row],[Customer_ID]],Table1[Sales])</f>
        <v>7264.36</v>
      </c>
      <c r="K46" s="6">
        <f t="shared" ca="1" si="1"/>
        <v>46120.473312499998</v>
      </c>
    </row>
    <row r="47" spans="1:11" ht="15.75" customHeight="1" x14ac:dyDescent="0.35">
      <c r="A47" s="7" t="s">
        <v>88</v>
      </c>
      <c r="B47" s="7" t="s">
        <v>89</v>
      </c>
      <c r="C47" s="7" t="s">
        <v>13</v>
      </c>
      <c r="D47" s="7" t="s">
        <v>41</v>
      </c>
      <c r="E47" s="8">
        <v>476.33</v>
      </c>
      <c r="F47" s="7">
        <v>13</v>
      </c>
      <c r="G47" s="9">
        <v>0.05</v>
      </c>
      <c r="H47" s="10">
        <v>45475</v>
      </c>
      <c r="I47" s="8">
        <v>125.42</v>
      </c>
      <c r="J47" s="8">
        <f>SUMIF(Table1[Customer_ID],Table1[[#This Row],[Customer_ID]],Table1[Sales])</f>
        <v>4541.2299999999996</v>
      </c>
      <c r="K47" s="11">
        <f t="shared" ca="1" si="1"/>
        <v>46120.473312499998</v>
      </c>
    </row>
    <row r="48" spans="1:11" ht="15.75" customHeight="1" x14ac:dyDescent="0.35">
      <c r="A48" s="2" t="s">
        <v>44</v>
      </c>
      <c r="B48" s="2" t="s">
        <v>90</v>
      </c>
      <c r="C48" s="2" t="s">
        <v>47</v>
      </c>
      <c r="D48" s="2" t="s">
        <v>19</v>
      </c>
      <c r="E48" s="3">
        <v>1059.94</v>
      </c>
      <c r="F48" s="2">
        <v>13</v>
      </c>
      <c r="G48" s="4">
        <v>0</v>
      </c>
      <c r="H48" s="5">
        <v>45476</v>
      </c>
      <c r="I48" s="3">
        <v>352.58</v>
      </c>
      <c r="J48" s="3">
        <f>SUMIF(Table1[Customer_ID],Table1[[#This Row],[Customer_ID]],Table1[Sales])</f>
        <v>9958.1600000000017</v>
      </c>
      <c r="K48" s="6">
        <f t="shared" ca="1" si="1"/>
        <v>46120.473312499998</v>
      </c>
    </row>
    <row r="49" spans="1:11" ht="15.75" customHeight="1" x14ac:dyDescent="0.35">
      <c r="A49" s="7" t="s">
        <v>52</v>
      </c>
      <c r="B49" s="7" t="s">
        <v>91</v>
      </c>
      <c r="C49" s="7" t="s">
        <v>24</v>
      </c>
      <c r="D49" s="7" t="s">
        <v>25</v>
      </c>
      <c r="E49" s="8">
        <v>1032.75</v>
      </c>
      <c r="F49" s="7">
        <v>9</v>
      </c>
      <c r="G49" s="9">
        <v>0.1</v>
      </c>
      <c r="H49" s="10">
        <v>45477</v>
      </c>
      <c r="I49" s="8">
        <v>425.56</v>
      </c>
      <c r="J49" s="8">
        <f>SUMIF(Table1[Customer_ID],Table1[[#This Row],[Customer_ID]],Table1[Sales])</f>
        <v>8197.9599999999991</v>
      </c>
      <c r="K49" s="11">
        <f t="shared" ca="1" si="1"/>
        <v>46120.473312499998</v>
      </c>
    </row>
    <row r="50" spans="1:11" ht="15.75" customHeight="1" x14ac:dyDescent="0.35">
      <c r="A50" s="2" t="s">
        <v>92</v>
      </c>
      <c r="B50" s="2" t="s">
        <v>93</v>
      </c>
      <c r="C50" s="2" t="s">
        <v>47</v>
      </c>
      <c r="D50" s="2" t="s">
        <v>25</v>
      </c>
      <c r="E50" s="3">
        <v>462.31</v>
      </c>
      <c r="F50" s="2">
        <v>3</v>
      </c>
      <c r="G50" s="4">
        <v>0.15</v>
      </c>
      <c r="H50" s="5">
        <v>45480</v>
      </c>
      <c r="I50" s="3">
        <v>237.88</v>
      </c>
      <c r="J50" s="3">
        <f>SUMIF(Table1[Customer_ID],Table1[[#This Row],[Customer_ID]],Table1[Sales])</f>
        <v>4609.08</v>
      </c>
      <c r="K50" s="6">
        <f t="shared" ca="1" si="1"/>
        <v>46120.473312499998</v>
      </c>
    </row>
    <row r="51" spans="1:11" ht="15.75" customHeight="1" x14ac:dyDescent="0.35">
      <c r="A51" s="7" t="s">
        <v>37</v>
      </c>
      <c r="B51" s="7" t="s">
        <v>94</v>
      </c>
      <c r="C51" s="7" t="s">
        <v>50</v>
      </c>
      <c r="D51" s="7" t="s">
        <v>41</v>
      </c>
      <c r="E51" s="8">
        <v>944.48</v>
      </c>
      <c r="F51" s="7">
        <v>6</v>
      </c>
      <c r="G51" s="9">
        <v>0.05</v>
      </c>
      <c r="H51" s="10">
        <v>45481</v>
      </c>
      <c r="I51" s="8">
        <v>215</v>
      </c>
      <c r="J51" s="8">
        <f>SUMIF(Table1[Customer_ID],Table1[[#This Row],[Customer_ID]],Table1[Sales])</f>
        <v>10890.76</v>
      </c>
      <c r="K51" s="11">
        <f t="shared" ca="1" si="1"/>
        <v>46120.473312499998</v>
      </c>
    </row>
    <row r="52" spans="1:11" ht="15.75" customHeight="1" x14ac:dyDescent="0.35">
      <c r="A52" s="2" t="s">
        <v>11</v>
      </c>
      <c r="B52" s="2" t="s">
        <v>95</v>
      </c>
      <c r="C52" s="2" t="s">
        <v>32</v>
      </c>
      <c r="D52" s="2" t="s">
        <v>25</v>
      </c>
      <c r="E52" s="3">
        <v>1041.8499999999999</v>
      </c>
      <c r="F52" s="2">
        <v>15</v>
      </c>
      <c r="G52" s="4">
        <v>0.1</v>
      </c>
      <c r="H52" s="5">
        <v>45484</v>
      </c>
      <c r="I52" s="3">
        <v>571.9</v>
      </c>
      <c r="J52" s="3">
        <f>SUMIF(Table1[Customer_ID],Table1[[#This Row],[Customer_ID]],Table1[Sales])</f>
        <v>6978.8600000000006</v>
      </c>
      <c r="K52" s="6">
        <f t="shared" ca="1" si="1"/>
        <v>46120.473312499998</v>
      </c>
    </row>
    <row r="53" spans="1:11" ht="15.75" customHeight="1" x14ac:dyDescent="0.35">
      <c r="A53" s="7" t="s">
        <v>88</v>
      </c>
      <c r="B53" s="7" t="s">
        <v>96</v>
      </c>
      <c r="C53" s="7" t="s">
        <v>47</v>
      </c>
      <c r="D53" s="7" t="s">
        <v>41</v>
      </c>
      <c r="E53" s="8">
        <v>860.81</v>
      </c>
      <c r="F53" s="7">
        <v>12</v>
      </c>
      <c r="G53" s="9">
        <v>0.1</v>
      </c>
      <c r="H53" s="10">
        <v>45484</v>
      </c>
      <c r="I53" s="8">
        <v>458.73</v>
      </c>
      <c r="J53" s="8">
        <f>SUMIF(Table1[Customer_ID],Table1[[#This Row],[Customer_ID]],Table1[Sales])</f>
        <v>4541.2299999999996</v>
      </c>
      <c r="K53" s="11">
        <f t="shared" ca="1" si="1"/>
        <v>46120.473312499998</v>
      </c>
    </row>
    <row r="54" spans="1:11" ht="15.75" customHeight="1" x14ac:dyDescent="0.35">
      <c r="A54" s="2" t="s">
        <v>80</v>
      </c>
      <c r="B54" s="2" t="s">
        <v>97</v>
      </c>
      <c r="C54" s="2" t="s">
        <v>50</v>
      </c>
      <c r="D54" s="2" t="s">
        <v>25</v>
      </c>
      <c r="E54" s="3">
        <v>1151.45</v>
      </c>
      <c r="F54" s="2">
        <v>5</v>
      </c>
      <c r="G54" s="4">
        <v>0.15</v>
      </c>
      <c r="H54" s="5">
        <v>45485</v>
      </c>
      <c r="I54" s="3">
        <v>342.55</v>
      </c>
      <c r="J54" s="3">
        <f>SUMIF(Table1[Customer_ID],Table1[[#This Row],[Customer_ID]],Table1[Sales])</f>
        <v>6436.7800000000007</v>
      </c>
      <c r="K54" s="6">
        <f t="shared" ca="1" si="1"/>
        <v>46120.473312499998</v>
      </c>
    </row>
    <row r="55" spans="1:11" ht="15.75" customHeight="1" x14ac:dyDescent="0.35">
      <c r="A55" s="7" t="s">
        <v>80</v>
      </c>
      <c r="B55" s="7" t="s">
        <v>64</v>
      </c>
      <c r="C55" s="7" t="s">
        <v>47</v>
      </c>
      <c r="D55" s="7" t="s">
        <v>41</v>
      </c>
      <c r="E55" s="8">
        <v>831.96</v>
      </c>
      <c r="F55" s="7">
        <v>18</v>
      </c>
      <c r="G55" s="9">
        <v>0.2</v>
      </c>
      <c r="H55" s="10">
        <v>45485</v>
      </c>
      <c r="I55" s="8">
        <v>389.96</v>
      </c>
      <c r="J55" s="8">
        <f>SUMIF(Table1[Customer_ID],Table1[[#This Row],[Customer_ID]],Table1[Sales])</f>
        <v>6436.7800000000007</v>
      </c>
      <c r="K55" s="11">
        <f t="shared" ca="1" si="1"/>
        <v>46120.473312499998</v>
      </c>
    </row>
    <row r="56" spans="1:11" ht="15.75" customHeight="1" x14ac:dyDescent="0.35">
      <c r="A56" s="2" t="s">
        <v>39</v>
      </c>
      <c r="B56" s="2" t="s">
        <v>98</v>
      </c>
      <c r="C56" s="2" t="s">
        <v>47</v>
      </c>
      <c r="D56" s="2" t="s">
        <v>25</v>
      </c>
      <c r="E56" s="3">
        <v>1019.01</v>
      </c>
      <c r="F56" s="2">
        <v>5</v>
      </c>
      <c r="G56" s="4">
        <v>0.15</v>
      </c>
      <c r="H56" s="5">
        <v>45489</v>
      </c>
      <c r="I56" s="3">
        <v>532.59</v>
      </c>
      <c r="J56" s="3">
        <f>SUMIF(Table1[Customer_ID],Table1[[#This Row],[Customer_ID]],Table1[Sales])</f>
        <v>8104.79</v>
      </c>
      <c r="K56" s="6">
        <f t="shared" ca="1" si="1"/>
        <v>46120.473312499998</v>
      </c>
    </row>
    <row r="57" spans="1:11" ht="15.75" customHeight="1" x14ac:dyDescent="0.35">
      <c r="A57" s="7" t="s">
        <v>99</v>
      </c>
      <c r="B57" s="7" t="s">
        <v>100</v>
      </c>
      <c r="C57" s="7" t="s">
        <v>50</v>
      </c>
      <c r="D57" s="7" t="s">
        <v>25</v>
      </c>
      <c r="E57" s="8">
        <v>1099.92</v>
      </c>
      <c r="F57" s="7">
        <v>1</v>
      </c>
      <c r="G57" s="9">
        <v>0.2</v>
      </c>
      <c r="H57" s="10">
        <v>45493</v>
      </c>
      <c r="I57" s="8">
        <v>495.63</v>
      </c>
      <c r="J57" s="8">
        <f>SUMIF(Table1[Customer_ID],Table1[[#This Row],[Customer_ID]],Table1[Sales])</f>
        <v>4603.9400000000005</v>
      </c>
      <c r="K57" s="11">
        <f t="shared" ca="1" si="1"/>
        <v>46120.473312499998</v>
      </c>
    </row>
    <row r="58" spans="1:11" ht="15.75" customHeight="1" x14ac:dyDescent="0.35">
      <c r="A58" s="2" t="s">
        <v>17</v>
      </c>
      <c r="B58" s="2" t="s">
        <v>101</v>
      </c>
      <c r="C58" s="2" t="s">
        <v>13</v>
      </c>
      <c r="D58" s="2" t="s">
        <v>25</v>
      </c>
      <c r="E58" s="3">
        <v>651.62</v>
      </c>
      <c r="F58" s="2">
        <v>5</v>
      </c>
      <c r="G58" s="4">
        <v>0.1</v>
      </c>
      <c r="H58" s="5">
        <v>45493</v>
      </c>
      <c r="I58" s="3">
        <v>169.89</v>
      </c>
      <c r="J58" s="3">
        <f>SUMIF(Table1[Customer_ID],Table1[[#This Row],[Customer_ID]],Table1[Sales])</f>
        <v>5612.99</v>
      </c>
      <c r="K58" s="6">
        <f t="shared" ca="1" si="1"/>
        <v>46120.473312499998</v>
      </c>
    </row>
    <row r="59" spans="1:11" ht="15.75" customHeight="1" x14ac:dyDescent="0.35">
      <c r="A59" s="7" t="s">
        <v>102</v>
      </c>
      <c r="B59" s="7" t="s">
        <v>103</v>
      </c>
      <c r="C59" s="7" t="s">
        <v>13</v>
      </c>
      <c r="D59" s="7" t="s">
        <v>19</v>
      </c>
      <c r="E59" s="8">
        <v>1095.8399999999999</v>
      </c>
      <c r="F59" s="7">
        <v>14</v>
      </c>
      <c r="G59" s="9">
        <v>0.05</v>
      </c>
      <c r="H59" s="10">
        <v>45494</v>
      </c>
      <c r="I59" s="8">
        <v>526.49</v>
      </c>
      <c r="J59" s="8">
        <f>SUMIF(Table1[Customer_ID],Table1[[#This Row],[Customer_ID]],Table1[Sales])</f>
        <v>4080.45</v>
      </c>
      <c r="K59" s="11">
        <f t="shared" ca="1" si="1"/>
        <v>46120.473312499998</v>
      </c>
    </row>
    <row r="60" spans="1:11" ht="15.75" customHeight="1" x14ac:dyDescent="0.35">
      <c r="A60" s="2" t="s">
        <v>104</v>
      </c>
      <c r="B60" s="2" t="s">
        <v>105</v>
      </c>
      <c r="C60" s="2" t="s">
        <v>13</v>
      </c>
      <c r="D60" s="2" t="s">
        <v>41</v>
      </c>
      <c r="E60" s="3">
        <v>1292.6300000000001</v>
      </c>
      <c r="F60" s="2">
        <v>20</v>
      </c>
      <c r="G60" s="4">
        <v>0</v>
      </c>
      <c r="H60" s="5">
        <v>45498</v>
      </c>
      <c r="I60" s="3">
        <v>541.52</v>
      </c>
      <c r="J60" s="3">
        <f>SUMIF(Table1[Customer_ID],Table1[[#This Row],[Customer_ID]],Table1[Sales])</f>
        <v>3099.23</v>
      </c>
      <c r="K60" s="6">
        <f t="shared" ca="1" si="1"/>
        <v>46120.473312499998</v>
      </c>
    </row>
    <row r="61" spans="1:11" ht="15.75" customHeight="1" x14ac:dyDescent="0.35">
      <c r="A61" s="7" t="s">
        <v>63</v>
      </c>
      <c r="B61" s="7" t="s">
        <v>106</v>
      </c>
      <c r="C61" s="7" t="s">
        <v>13</v>
      </c>
      <c r="D61" s="7" t="s">
        <v>14</v>
      </c>
      <c r="E61" s="8">
        <v>1238.1199999999999</v>
      </c>
      <c r="F61" s="7">
        <v>8</v>
      </c>
      <c r="G61" s="9">
        <v>0.2</v>
      </c>
      <c r="H61" s="10">
        <v>45504</v>
      </c>
      <c r="I61" s="8">
        <v>250.74</v>
      </c>
      <c r="J61" s="8">
        <f>SUMIF(Table1[Customer_ID],Table1[[#This Row],[Customer_ID]],Table1[Sales])</f>
        <v>7264.36</v>
      </c>
      <c r="K61" s="11">
        <f t="shared" ca="1" si="1"/>
        <v>46120.473312499998</v>
      </c>
    </row>
    <row r="62" spans="1:11" ht="15.75" customHeight="1" x14ac:dyDescent="0.35">
      <c r="A62" s="2" t="s">
        <v>37</v>
      </c>
      <c r="B62" s="2" t="s">
        <v>60</v>
      </c>
      <c r="C62" s="2" t="s">
        <v>47</v>
      </c>
      <c r="D62" s="2" t="s">
        <v>41</v>
      </c>
      <c r="E62" s="3">
        <v>1503.36</v>
      </c>
      <c r="F62" s="2">
        <v>18</v>
      </c>
      <c r="G62" s="4">
        <v>0.2</v>
      </c>
      <c r="H62" s="5">
        <v>45504</v>
      </c>
      <c r="I62" s="3">
        <v>557.57000000000005</v>
      </c>
      <c r="J62" s="3">
        <f>SUMIF(Table1[Customer_ID],Table1[[#This Row],[Customer_ID]],Table1[Sales])</f>
        <v>10890.76</v>
      </c>
      <c r="K62" s="6">
        <f t="shared" ca="1" si="1"/>
        <v>46120.473312499998</v>
      </c>
    </row>
    <row r="63" spans="1:11" ht="15.75" customHeight="1" x14ac:dyDescent="0.35">
      <c r="A63" s="7" t="s">
        <v>65</v>
      </c>
      <c r="B63" s="7" t="s">
        <v>107</v>
      </c>
      <c r="C63" s="7" t="s">
        <v>50</v>
      </c>
      <c r="D63" s="7" t="s">
        <v>14</v>
      </c>
      <c r="E63" s="8">
        <v>895.31</v>
      </c>
      <c r="F63" s="7">
        <v>2</v>
      </c>
      <c r="G63" s="9">
        <v>0.15</v>
      </c>
      <c r="H63" s="10">
        <v>45505</v>
      </c>
      <c r="I63" s="8">
        <v>241.6</v>
      </c>
      <c r="J63" s="8">
        <f>SUMIF(Table1[Customer_ID],Table1[[#This Row],[Customer_ID]],Table1[Sales])</f>
        <v>7997.8099999999995</v>
      </c>
      <c r="K63" s="11">
        <f t="shared" ca="1" si="1"/>
        <v>46120.473312499998</v>
      </c>
    </row>
    <row r="64" spans="1:11" ht="15.75" customHeight="1" x14ac:dyDescent="0.35">
      <c r="A64" s="2" t="s">
        <v>33</v>
      </c>
      <c r="B64" s="2" t="s">
        <v>108</v>
      </c>
      <c r="C64" s="2" t="s">
        <v>47</v>
      </c>
      <c r="D64" s="2" t="s">
        <v>19</v>
      </c>
      <c r="E64" s="3">
        <v>1579.03</v>
      </c>
      <c r="F64" s="2">
        <v>3</v>
      </c>
      <c r="G64" s="4">
        <v>0.1</v>
      </c>
      <c r="H64" s="5">
        <v>45505</v>
      </c>
      <c r="I64" s="3">
        <v>539.29999999999995</v>
      </c>
      <c r="J64" s="3">
        <f>SUMIF(Table1[Customer_ID],Table1[[#This Row],[Customer_ID]],Table1[Sales])</f>
        <v>11063.92</v>
      </c>
      <c r="K64" s="6">
        <f t="shared" ca="1" si="1"/>
        <v>46120.473312499998</v>
      </c>
    </row>
    <row r="65" spans="1:11" ht="15.75" customHeight="1" x14ac:dyDescent="0.35">
      <c r="A65" s="7" t="s">
        <v>33</v>
      </c>
      <c r="B65" s="7" t="s">
        <v>109</v>
      </c>
      <c r="C65" s="7" t="s">
        <v>47</v>
      </c>
      <c r="D65" s="7" t="s">
        <v>41</v>
      </c>
      <c r="E65" s="8">
        <v>503.48</v>
      </c>
      <c r="F65" s="7">
        <v>14</v>
      </c>
      <c r="G65" s="9">
        <v>0</v>
      </c>
      <c r="H65" s="10">
        <v>45505</v>
      </c>
      <c r="I65" s="8">
        <v>244.61</v>
      </c>
      <c r="J65" s="8">
        <f>SUMIF(Table1[Customer_ID],Table1[[#This Row],[Customer_ID]],Table1[Sales])</f>
        <v>11063.92</v>
      </c>
      <c r="K65" s="11">
        <f t="shared" ca="1" si="1"/>
        <v>46120.473312499998</v>
      </c>
    </row>
    <row r="66" spans="1:11" ht="15.75" customHeight="1" x14ac:dyDescent="0.35">
      <c r="A66" s="2" t="s">
        <v>42</v>
      </c>
      <c r="B66" s="2" t="s">
        <v>110</v>
      </c>
      <c r="C66" s="2" t="s">
        <v>32</v>
      </c>
      <c r="D66" s="2" t="s">
        <v>14</v>
      </c>
      <c r="E66" s="3">
        <v>1690.15</v>
      </c>
      <c r="F66" s="2">
        <v>3</v>
      </c>
      <c r="G66" s="4">
        <v>0.2</v>
      </c>
      <c r="H66" s="5">
        <v>45513</v>
      </c>
      <c r="I66" s="3">
        <v>502.76</v>
      </c>
      <c r="J66" s="3">
        <f>SUMIF(Table1[Customer_ID],Table1[[#This Row],[Customer_ID]],Table1[Sales])</f>
        <v>10167.539999999999</v>
      </c>
      <c r="K66" s="6">
        <f t="shared" ref="K66:K97" ca="1" si="2">NOW()</f>
        <v>46120.473312499998</v>
      </c>
    </row>
    <row r="67" spans="1:11" ht="15.75" customHeight="1" x14ac:dyDescent="0.35">
      <c r="A67" s="7" t="s">
        <v>111</v>
      </c>
      <c r="B67" s="7" t="s">
        <v>112</v>
      </c>
      <c r="C67" s="7" t="s">
        <v>24</v>
      </c>
      <c r="D67" s="7" t="s">
        <v>25</v>
      </c>
      <c r="E67" s="8">
        <v>460.19</v>
      </c>
      <c r="F67" s="7">
        <v>7</v>
      </c>
      <c r="G67" s="9">
        <v>0.05</v>
      </c>
      <c r="H67" s="10">
        <v>45513</v>
      </c>
      <c r="I67" s="8">
        <v>219.34</v>
      </c>
      <c r="J67" s="8">
        <f>SUMIF(Table1[Customer_ID],Table1[[#This Row],[Customer_ID]],Table1[Sales])</f>
        <v>5223.2100000000009</v>
      </c>
      <c r="K67" s="11">
        <f t="shared" ca="1" si="2"/>
        <v>46120.473312499998</v>
      </c>
    </row>
    <row r="68" spans="1:11" ht="15.75" customHeight="1" x14ac:dyDescent="0.35">
      <c r="A68" s="2" t="s">
        <v>11</v>
      </c>
      <c r="B68" s="2" t="s">
        <v>113</v>
      </c>
      <c r="C68" s="2" t="s">
        <v>24</v>
      </c>
      <c r="D68" s="2" t="s">
        <v>51</v>
      </c>
      <c r="E68" s="3">
        <v>1815.22</v>
      </c>
      <c r="F68" s="2">
        <v>7</v>
      </c>
      <c r="G68" s="4">
        <v>0.1</v>
      </c>
      <c r="H68" s="5">
        <v>45514</v>
      </c>
      <c r="I68" s="3">
        <v>531.79999999999995</v>
      </c>
      <c r="J68" s="3">
        <f>SUMIF(Table1[Customer_ID],Table1[[#This Row],[Customer_ID]],Table1[Sales])</f>
        <v>6978.8600000000006</v>
      </c>
      <c r="K68" s="6">
        <f t="shared" ca="1" si="2"/>
        <v>46120.473312499998</v>
      </c>
    </row>
    <row r="69" spans="1:11" ht="15.75" customHeight="1" x14ac:dyDescent="0.35">
      <c r="A69" s="7" t="s">
        <v>17</v>
      </c>
      <c r="B69" s="7" t="s">
        <v>114</v>
      </c>
      <c r="C69" s="7" t="s">
        <v>50</v>
      </c>
      <c r="D69" s="7" t="s">
        <v>51</v>
      </c>
      <c r="E69" s="8">
        <v>973.11</v>
      </c>
      <c r="F69" s="7">
        <v>20</v>
      </c>
      <c r="G69" s="9">
        <v>0.1</v>
      </c>
      <c r="H69" s="10">
        <v>45515</v>
      </c>
      <c r="I69" s="8">
        <v>388.98</v>
      </c>
      <c r="J69" s="8">
        <f>SUMIF(Table1[Customer_ID],Table1[[#This Row],[Customer_ID]],Table1[Sales])</f>
        <v>5612.99</v>
      </c>
      <c r="K69" s="11">
        <f t="shared" ca="1" si="2"/>
        <v>46120.473312499998</v>
      </c>
    </row>
    <row r="70" spans="1:11" ht="15.75" customHeight="1" x14ac:dyDescent="0.35">
      <c r="A70" s="2" t="s">
        <v>35</v>
      </c>
      <c r="B70" s="2" t="s">
        <v>115</v>
      </c>
      <c r="C70" s="2" t="s">
        <v>50</v>
      </c>
      <c r="D70" s="2" t="s">
        <v>25</v>
      </c>
      <c r="E70" s="3">
        <v>1609.36</v>
      </c>
      <c r="F70" s="2">
        <v>10</v>
      </c>
      <c r="G70" s="4">
        <v>0</v>
      </c>
      <c r="H70" s="5">
        <v>45519</v>
      </c>
      <c r="I70" s="3">
        <v>388.59</v>
      </c>
      <c r="J70" s="3">
        <f>SUMIF(Table1[Customer_ID],Table1[[#This Row],[Customer_ID]],Table1[Sales])</f>
        <v>10564.119999999999</v>
      </c>
      <c r="K70" s="6">
        <f t="shared" ca="1" si="2"/>
        <v>46120.473312499998</v>
      </c>
    </row>
    <row r="71" spans="1:11" ht="15.75" customHeight="1" x14ac:dyDescent="0.35">
      <c r="A71" s="7" t="s">
        <v>33</v>
      </c>
      <c r="B71" s="7" t="s">
        <v>116</v>
      </c>
      <c r="C71" s="7" t="s">
        <v>50</v>
      </c>
      <c r="D71" s="7" t="s">
        <v>41</v>
      </c>
      <c r="E71" s="8">
        <v>869.34</v>
      </c>
      <c r="F71" s="7">
        <v>11</v>
      </c>
      <c r="G71" s="9">
        <v>0.1</v>
      </c>
      <c r="H71" s="10">
        <v>45519</v>
      </c>
      <c r="I71" s="8">
        <v>466.12</v>
      </c>
      <c r="J71" s="8">
        <f>SUMIF(Table1[Customer_ID],Table1[[#This Row],[Customer_ID]],Table1[Sales])</f>
        <v>11063.92</v>
      </c>
      <c r="K71" s="11">
        <f t="shared" ca="1" si="2"/>
        <v>46120.473312499998</v>
      </c>
    </row>
    <row r="72" spans="1:11" ht="15.75" customHeight="1" x14ac:dyDescent="0.35">
      <c r="A72" s="2" t="s">
        <v>42</v>
      </c>
      <c r="B72" s="2" t="s">
        <v>117</v>
      </c>
      <c r="C72" s="2" t="s">
        <v>47</v>
      </c>
      <c r="D72" s="2" t="s">
        <v>41</v>
      </c>
      <c r="E72" s="3">
        <v>319.14</v>
      </c>
      <c r="F72" s="2">
        <v>3</v>
      </c>
      <c r="G72" s="4">
        <v>0.1</v>
      </c>
      <c r="H72" s="5">
        <v>45521</v>
      </c>
      <c r="I72" s="3">
        <v>99.94</v>
      </c>
      <c r="J72" s="3">
        <f>SUMIF(Table1[Customer_ID],Table1[[#This Row],[Customer_ID]],Table1[Sales])</f>
        <v>10167.539999999999</v>
      </c>
      <c r="K72" s="6">
        <f t="shared" ca="1" si="2"/>
        <v>46120.473312499998</v>
      </c>
    </row>
    <row r="73" spans="1:11" ht="15.75" customHeight="1" x14ac:dyDescent="0.35">
      <c r="A73" s="7" t="s">
        <v>65</v>
      </c>
      <c r="B73" s="7" t="s">
        <v>118</v>
      </c>
      <c r="C73" s="7" t="s">
        <v>13</v>
      </c>
      <c r="D73" s="7" t="s">
        <v>51</v>
      </c>
      <c r="E73" s="8">
        <v>1116.6300000000001</v>
      </c>
      <c r="F73" s="7">
        <v>18</v>
      </c>
      <c r="G73" s="9">
        <v>0.15</v>
      </c>
      <c r="H73" s="10">
        <v>45521</v>
      </c>
      <c r="I73" s="8">
        <v>237.64</v>
      </c>
      <c r="J73" s="8">
        <f>SUMIF(Table1[Customer_ID],Table1[[#This Row],[Customer_ID]],Table1[Sales])</f>
        <v>7997.8099999999995</v>
      </c>
      <c r="K73" s="11">
        <f t="shared" ca="1" si="2"/>
        <v>46120.473312499998</v>
      </c>
    </row>
    <row r="74" spans="1:11" ht="15.75" customHeight="1" x14ac:dyDescent="0.35">
      <c r="A74" s="2" t="s">
        <v>111</v>
      </c>
      <c r="B74" s="2" t="s">
        <v>119</v>
      </c>
      <c r="C74" s="2" t="s">
        <v>47</v>
      </c>
      <c r="D74" s="2" t="s">
        <v>19</v>
      </c>
      <c r="E74" s="3">
        <v>1283.17</v>
      </c>
      <c r="F74" s="2">
        <v>3</v>
      </c>
      <c r="G74" s="4">
        <v>0</v>
      </c>
      <c r="H74" s="5">
        <v>45523</v>
      </c>
      <c r="I74" s="3">
        <v>353.49</v>
      </c>
      <c r="J74" s="3">
        <f>SUMIF(Table1[Customer_ID],Table1[[#This Row],[Customer_ID]],Table1[Sales])</f>
        <v>5223.2100000000009</v>
      </c>
      <c r="K74" s="6">
        <f t="shared" ca="1" si="2"/>
        <v>46120.473312499998</v>
      </c>
    </row>
    <row r="75" spans="1:11" ht="15.75" customHeight="1" x14ac:dyDescent="0.35">
      <c r="A75" s="7" t="s">
        <v>120</v>
      </c>
      <c r="B75" s="7" t="s">
        <v>121</v>
      </c>
      <c r="C75" s="7" t="s">
        <v>24</v>
      </c>
      <c r="D75" s="7" t="s">
        <v>19</v>
      </c>
      <c r="E75" s="8">
        <v>1779.96</v>
      </c>
      <c r="F75" s="7">
        <v>4</v>
      </c>
      <c r="G75" s="9">
        <v>0.1</v>
      </c>
      <c r="H75" s="10">
        <v>45525</v>
      </c>
      <c r="I75" s="8">
        <v>794.6</v>
      </c>
      <c r="J75" s="8">
        <f>SUMIF(Table1[Customer_ID],Table1[[#This Row],[Customer_ID]],Table1[Sales])</f>
        <v>4462.17</v>
      </c>
      <c r="K75" s="11">
        <f t="shared" ca="1" si="2"/>
        <v>46120.473312499998</v>
      </c>
    </row>
    <row r="76" spans="1:11" ht="15.75" customHeight="1" x14ac:dyDescent="0.35">
      <c r="A76" s="2" t="s">
        <v>92</v>
      </c>
      <c r="B76" s="2" t="s">
        <v>122</v>
      </c>
      <c r="C76" s="2" t="s">
        <v>50</v>
      </c>
      <c r="D76" s="2" t="s">
        <v>19</v>
      </c>
      <c r="E76" s="3">
        <v>917.12</v>
      </c>
      <c r="F76" s="2">
        <v>15</v>
      </c>
      <c r="G76" s="4">
        <v>0.05</v>
      </c>
      <c r="H76" s="5">
        <v>45527</v>
      </c>
      <c r="I76" s="3">
        <v>228.24</v>
      </c>
      <c r="J76" s="3">
        <f>SUMIF(Table1[Customer_ID],Table1[[#This Row],[Customer_ID]],Table1[Sales])</f>
        <v>4609.08</v>
      </c>
      <c r="K76" s="6">
        <f t="shared" ca="1" si="2"/>
        <v>46120.473312499998</v>
      </c>
    </row>
    <row r="77" spans="1:11" ht="15.75" customHeight="1" x14ac:dyDescent="0.35">
      <c r="A77" s="7" t="s">
        <v>111</v>
      </c>
      <c r="B77" s="7" t="s">
        <v>123</v>
      </c>
      <c r="C77" s="7" t="s">
        <v>50</v>
      </c>
      <c r="D77" s="7" t="s">
        <v>19</v>
      </c>
      <c r="E77" s="8">
        <v>449.22</v>
      </c>
      <c r="F77" s="7">
        <v>8</v>
      </c>
      <c r="G77" s="9">
        <v>0.05</v>
      </c>
      <c r="H77" s="10">
        <v>45528</v>
      </c>
      <c r="I77" s="8">
        <v>219.81</v>
      </c>
      <c r="J77" s="8">
        <f>SUMIF(Table1[Customer_ID],Table1[[#This Row],[Customer_ID]],Table1[Sales])</f>
        <v>5223.2100000000009</v>
      </c>
      <c r="K77" s="11">
        <f t="shared" ca="1" si="2"/>
        <v>46120.473312499998</v>
      </c>
    </row>
    <row r="78" spans="1:11" ht="15.75" customHeight="1" x14ac:dyDescent="0.35">
      <c r="A78" s="2" t="s">
        <v>29</v>
      </c>
      <c r="B78" s="2" t="s">
        <v>124</v>
      </c>
      <c r="C78" s="2" t="s">
        <v>32</v>
      </c>
      <c r="D78" s="2" t="s">
        <v>14</v>
      </c>
      <c r="E78" s="3">
        <v>1494.87</v>
      </c>
      <c r="F78" s="2">
        <v>5</v>
      </c>
      <c r="G78" s="4">
        <v>0.1</v>
      </c>
      <c r="H78" s="5">
        <v>45536</v>
      </c>
      <c r="I78" s="3">
        <v>615.41999999999996</v>
      </c>
      <c r="J78" s="3">
        <f>SUMIF(Table1[Customer_ID],Table1[[#This Row],[Customer_ID]],Table1[Sales])</f>
        <v>11216.81</v>
      </c>
      <c r="K78" s="6">
        <f t="shared" ca="1" si="2"/>
        <v>46120.473312499998</v>
      </c>
    </row>
    <row r="79" spans="1:11" ht="15.75" customHeight="1" x14ac:dyDescent="0.35">
      <c r="A79" s="7" t="s">
        <v>92</v>
      </c>
      <c r="B79" s="7" t="s">
        <v>125</v>
      </c>
      <c r="C79" s="7" t="s">
        <v>50</v>
      </c>
      <c r="D79" s="7" t="s">
        <v>51</v>
      </c>
      <c r="E79" s="8">
        <v>1725.52</v>
      </c>
      <c r="F79" s="7">
        <v>8</v>
      </c>
      <c r="G79" s="9">
        <v>0.1</v>
      </c>
      <c r="H79" s="10">
        <v>45537</v>
      </c>
      <c r="I79" s="8">
        <v>440.37</v>
      </c>
      <c r="J79" s="8">
        <f>SUMIF(Table1[Customer_ID],Table1[[#This Row],[Customer_ID]],Table1[Sales])</f>
        <v>4609.08</v>
      </c>
      <c r="K79" s="11">
        <f t="shared" ca="1" si="2"/>
        <v>46120.473312499998</v>
      </c>
    </row>
    <row r="80" spans="1:11" ht="15.75" customHeight="1" x14ac:dyDescent="0.35">
      <c r="A80" s="2" t="s">
        <v>99</v>
      </c>
      <c r="B80" s="2" t="s">
        <v>126</v>
      </c>
      <c r="C80" s="2" t="s">
        <v>50</v>
      </c>
      <c r="D80" s="2" t="s">
        <v>19</v>
      </c>
      <c r="E80" s="3">
        <v>428.91</v>
      </c>
      <c r="F80" s="2">
        <v>1</v>
      </c>
      <c r="G80" s="4">
        <v>0.2</v>
      </c>
      <c r="H80" s="5">
        <v>45537</v>
      </c>
      <c r="I80" s="3">
        <v>156.25</v>
      </c>
      <c r="J80" s="3">
        <f>SUMIF(Table1[Customer_ID],Table1[[#This Row],[Customer_ID]],Table1[Sales])</f>
        <v>4603.9400000000005</v>
      </c>
      <c r="K80" s="6">
        <f t="shared" ca="1" si="2"/>
        <v>46120.473312499998</v>
      </c>
    </row>
    <row r="81" spans="1:11" ht="15.75" customHeight="1" x14ac:dyDescent="0.35">
      <c r="A81" s="7" t="s">
        <v>11</v>
      </c>
      <c r="B81" s="7" t="s">
        <v>127</v>
      </c>
      <c r="C81" s="7" t="s">
        <v>13</v>
      </c>
      <c r="D81" s="7" t="s">
        <v>14</v>
      </c>
      <c r="E81" s="8">
        <v>807.26</v>
      </c>
      <c r="F81" s="7">
        <v>18</v>
      </c>
      <c r="G81" s="9">
        <v>0.15</v>
      </c>
      <c r="H81" s="10">
        <v>45537</v>
      </c>
      <c r="I81" s="8">
        <v>232.65</v>
      </c>
      <c r="J81" s="8">
        <f>SUMIF(Table1[Customer_ID],Table1[[#This Row],[Customer_ID]],Table1[Sales])</f>
        <v>6978.8600000000006</v>
      </c>
      <c r="K81" s="11">
        <f t="shared" ca="1" si="2"/>
        <v>46120.473312499998</v>
      </c>
    </row>
    <row r="82" spans="1:11" ht="15.75" customHeight="1" x14ac:dyDescent="0.35">
      <c r="A82" s="2" t="s">
        <v>128</v>
      </c>
      <c r="B82" s="2" t="s">
        <v>129</v>
      </c>
      <c r="C82" s="2" t="s">
        <v>32</v>
      </c>
      <c r="D82" s="2" t="s">
        <v>19</v>
      </c>
      <c r="E82" s="3">
        <v>847.09</v>
      </c>
      <c r="F82" s="2">
        <v>14</v>
      </c>
      <c r="G82" s="4">
        <v>0</v>
      </c>
      <c r="H82" s="5">
        <v>45539</v>
      </c>
      <c r="I82" s="3">
        <v>347.43</v>
      </c>
      <c r="J82" s="3">
        <f>SUMIF(Table1[Customer_ID],Table1[[#This Row],[Customer_ID]],Table1[Sales])</f>
        <v>5212.66</v>
      </c>
      <c r="K82" s="6">
        <f t="shared" ca="1" si="2"/>
        <v>46120.473312499998</v>
      </c>
    </row>
    <row r="83" spans="1:11" ht="15.75" customHeight="1" x14ac:dyDescent="0.35">
      <c r="A83" s="7" t="s">
        <v>45</v>
      </c>
      <c r="B83" s="7" t="s">
        <v>130</v>
      </c>
      <c r="C83" s="7" t="s">
        <v>24</v>
      </c>
      <c r="D83" s="7" t="s">
        <v>25</v>
      </c>
      <c r="E83" s="8">
        <v>1431.82</v>
      </c>
      <c r="F83" s="7">
        <v>2</v>
      </c>
      <c r="G83" s="9">
        <v>0.05</v>
      </c>
      <c r="H83" s="10">
        <v>45540</v>
      </c>
      <c r="I83" s="8">
        <v>780.09</v>
      </c>
      <c r="J83" s="8">
        <f>SUMIF(Table1[Customer_ID],Table1[[#This Row],[Customer_ID]],Table1[Sales])</f>
        <v>8044.2</v>
      </c>
      <c r="K83" s="11">
        <f t="shared" ca="1" si="2"/>
        <v>46120.473312499998</v>
      </c>
    </row>
    <row r="84" spans="1:11" ht="15.75" customHeight="1" x14ac:dyDescent="0.35">
      <c r="A84" s="2" t="s">
        <v>35</v>
      </c>
      <c r="B84" s="2" t="s">
        <v>131</v>
      </c>
      <c r="C84" s="2" t="s">
        <v>47</v>
      </c>
      <c r="D84" s="2" t="s">
        <v>14</v>
      </c>
      <c r="E84" s="3">
        <v>1337.08</v>
      </c>
      <c r="F84" s="2">
        <v>5</v>
      </c>
      <c r="G84" s="4">
        <v>0.15</v>
      </c>
      <c r="H84" s="5">
        <v>45541</v>
      </c>
      <c r="I84" s="3">
        <v>505.56</v>
      </c>
      <c r="J84" s="3">
        <f>SUMIF(Table1[Customer_ID],Table1[[#This Row],[Customer_ID]],Table1[Sales])</f>
        <v>10564.119999999999</v>
      </c>
      <c r="K84" s="6">
        <f t="shared" ca="1" si="2"/>
        <v>46120.473312499998</v>
      </c>
    </row>
    <row r="85" spans="1:11" ht="15.75" customHeight="1" x14ac:dyDescent="0.35">
      <c r="A85" s="7" t="s">
        <v>33</v>
      </c>
      <c r="B85" s="7" t="s">
        <v>132</v>
      </c>
      <c r="C85" s="7" t="s">
        <v>50</v>
      </c>
      <c r="D85" s="7" t="s">
        <v>25</v>
      </c>
      <c r="E85" s="8">
        <v>363.13</v>
      </c>
      <c r="F85" s="7">
        <v>15</v>
      </c>
      <c r="G85" s="9">
        <v>0</v>
      </c>
      <c r="H85" s="10">
        <v>45542</v>
      </c>
      <c r="I85" s="8">
        <v>98.25</v>
      </c>
      <c r="J85" s="8">
        <f>SUMIF(Table1[Customer_ID],Table1[[#This Row],[Customer_ID]],Table1[Sales])</f>
        <v>11063.92</v>
      </c>
      <c r="K85" s="11">
        <f t="shared" ca="1" si="2"/>
        <v>46120.473312499998</v>
      </c>
    </row>
    <row r="86" spans="1:11" ht="15.75" customHeight="1" x14ac:dyDescent="0.35">
      <c r="A86" s="2" t="s">
        <v>17</v>
      </c>
      <c r="B86" s="2" t="s">
        <v>133</v>
      </c>
      <c r="C86" s="2" t="s">
        <v>47</v>
      </c>
      <c r="D86" s="2" t="s">
        <v>14</v>
      </c>
      <c r="E86" s="3">
        <v>975.39</v>
      </c>
      <c r="F86" s="2">
        <v>6</v>
      </c>
      <c r="G86" s="4">
        <v>0.2</v>
      </c>
      <c r="H86" s="5">
        <v>45542</v>
      </c>
      <c r="I86" s="3">
        <v>304.74</v>
      </c>
      <c r="J86" s="3">
        <f>SUMIF(Table1[Customer_ID],Table1[[#This Row],[Customer_ID]],Table1[Sales])</f>
        <v>5612.99</v>
      </c>
      <c r="K86" s="6">
        <f t="shared" ca="1" si="2"/>
        <v>46120.473312499998</v>
      </c>
    </row>
    <row r="87" spans="1:11" ht="15.75" customHeight="1" x14ac:dyDescent="0.35">
      <c r="A87" s="7" t="s">
        <v>29</v>
      </c>
      <c r="B87" s="7" t="s">
        <v>134</v>
      </c>
      <c r="C87" s="7" t="s">
        <v>24</v>
      </c>
      <c r="D87" s="7" t="s">
        <v>51</v>
      </c>
      <c r="E87" s="8">
        <v>1641.57</v>
      </c>
      <c r="F87" s="7">
        <v>9</v>
      </c>
      <c r="G87" s="9">
        <v>0.15</v>
      </c>
      <c r="H87" s="10">
        <v>45543</v>
      </c>
      <c r="I87" s="8">
        <v>757.25</v>
      </c>
      <c r="J87" s="8">
        <f>SUMIF(Table1[Customer_ID],Table1[[#This Row],[Customer_ID]],Table1[Sales])</f>
        <v>11216.81</v>
      </c>
      <c r="K87" s="11">
        <f t="shared" ca="1" si="2"/>
        <v>46120.473312499998</v>
      </c>
    </row>
    <row r="88" spans="1:11" ht="15.75" customHeight="1" x14ac:dyDescent="0.35">
      <c r="A88" s="2" t="s">
        <v>52</v>
      </c>
      <c r="B88" s="2" t="s">
        <v>135</v>
      </c>
      <c r="C88" s="2" t="s">
        <v>24</v>
      </c>
      <c r="D88" s="2" t="s">
        <v>19</v>
      </c>
      <c r="E88" s="3">
        <v>443.24</v>
      </c>
      <c r="F88" s="2">
        <v>10</v>
      </c>
      <c r="G88" s="4">
        <v>0.05</v>
      </c>
      <c r="H88" s="5">
        <v>45546</v>
      </c>
      <c r="I88" s="3">
        <v>107.55</v>
      </c>
      <c r="J88" s="3">
        <f>SUMIF(Table1[Customer_ID],Table1[[#This Row],[Customer_ID]],Table1[Sales])</f>
        <v>8197.9599999999991</v>
      </c>
      <c r="K88" s="6">
        <f t="shared" ca="1" si="2"/>
        <v>46120.473312499998</v>
      </c>
    </row>
    <row r="89" spans="1:11" ht="15.75" customHeight="1" x14ac:dyDescent="0.35">
      <c r="A89" s="7" t="s">
        <v>11</v>
      </c>
      <c r="B89" s="7" t="s">
        <v>136</v>
      </c>
      <c r="C89" s="7" t="s">
        <v>24</v>
      </c>
      <c r="D89" s="7" t="s">
        <v>41</v>
      </c>
      <c r="E89" s="8">
        <v>759.38</v>
      </c>
      <c r="F89" s="7">
        <v>18</v>
      </c>
      <c r="G89" s="9">
        <v>0</v>
      </c>
      <c r="H89" s="10">
        <v>45547</v>
      </c>
      <c r="I89" s="8">
        <v>228.13</v>
      </c>
      <c r="J89" s="8">
        <f>SUMIF(Table1[Customer_ID],Table1[[#This Row],[Customer_ID]],Table1[Sales])</f>
        <v>6978.8600000000006</v>
      </c>
      <c r="K89" s="11">
        <f t="shared" ca="1" si="2"/>
        <v>46120.473312499998</v>
      </c>
    </row>
    <row r="90" spans="1:11" ht="15.75" customHeight="1" x14ac:dyDescent="0.35">
      <c r="A90" s="2" t="s">
        <v>44</v>
      </c>
      <c r="B90" s="2" t="s">
        <v>137</v>
      </c>
      <c r="C90" s="2" t="s">
        <v>13</v>
      </c>
      <c r="D90" s="2" t="s">
        <v>14</v>
      </c>
      <c r="E90" s="3">
        <v>1228.8399999999999</v>
      </c>
      <c r="F90" s="2">
        <v>5</v>
      </c>
      <c r="G90" s="4">
        <v>0.1</v>
      </c>
      <c r="H90" s="5">
        <v>45550</v>
      </c>
      <c r="I90" s="3">
        <v>661.97</v>
      </c>
      <c r="J90" s="3">
        <f>SUMIF(Table1[Customer_ID],Table1[[#This Row],[Customer_ID]],Table1[Sales])</f>
        <v>9958.1600000000017</v>
      </c>
      <c r="K90" s="6">
        <f t="shared" ca="1" si="2"/>
        <v>46120.473312499998</v>
      </c>
    </row>
    <row r="91" spans="1:11" ht="15.75" customHeight="1" x14ac:dyDescent="0.35">
      <c r="A91" s="7" t="s">
        <v>39</v>
      </c>
      <c r="B91" s="7" t="s">
        <v>138</v>
      </c>
      <c r="C91" s="7" t="s">
        <v>13</v>
      </c>
      <c r="D91" s="7" t="s">
        <v>14</v>
      </c>
      <c r="E91" s="8">
        <v>438.6</v>
      </c>
      <c r="F91" s="7">
        <v>14</v>
      </c>
      <c r="G91" s="9">
        <v>0.1</v>
      </c>
      <c r="H91" s="10">
        <v>45552</v>
      </c>
      <c r="I91" s="8">
        <v>154.71</v>
      </c>
      <c r="J91" s="8">
        <f>SUMIF(Table1[Customer_ID],Table1[[#This Row],[Customer_ID]],Table1[Sales])</f>
        <v>8104.79</v>
      </c>
      <c r="K91" s="11">
        <f t="shared" ca="1" si="2"/>
        <v>46120.473312499998</v>
      </c>
    </row>
    <row r="92" spans="1:11" ht="15.75" customHeight="1" x14ac:dyDescent="0.35">
      <c r="A92" s="2" t="s">
        <v>128</v>
      </c>
      <c r="B92" s="2" t="s">
        <v>101</v>
      </c>
      <c r="C92" s="2" t="s">
        <v>47</v>
      </c>
      <c r="D92" s="2" t="s">
        <v>14</v>
      </c>
      <c r="E92" s="3">
        <v>1838.82</v>
      </c>
      <c r="F92" s="2">
        <v>11</v>
      </c>
      <c r="G92" s="4">
        <v>0.2</v>
      </c>
      <c r="H92" s="5">
        <v>45552</v>
      </c>
      <c r="I92" s="3">
        <v>794.71</v>
      </c>
      <c r="J92" s="3">
        <f>SUMIF(Table1[Customer_ID],Table1[[#This Row],[Customer_ID]],Table1[Sales])</f>
        <v>5212.66</v>
      </c>
      <c r="K92" s="6">
        <f t="shared" ca="1" si="2"/>
        <v>46120.473312499998</v>
      </c>
    </row>
    <row r="93" spans="1:11" ht="15.75" customHeight="1" x14ac:dyDescent="0.35">
      <c r="A93" s="7" t="s">
        <v>111</v>
      </c>
      <c r="B93" s="7" t="s">
        <v>139</v>
      </c>
      <c r="C93" s="7" t="s">
        <v>50</v>
      </c>
      <c r="D93" s="7" t="s">
        <v>19</v>
      </c>
      <c r="E93" s="8">
        <v>1370.18</v>
      </c>
      <c r="F93" s="7">
        <v>18</v>
      </c>
      <c r="G93" s="9">
        <v>0.2</v>
      </c>
      <c r="H93" s="10">
        <v>45554</v>
      </c>
      <c r="I93" s="8">
        <v>729.64</v>
      </c>
      <c r="J93" s="8">
        <f>SUMIF(Table1[Customer_ID],Table1[[#This Row],[Customer_ID]],Table1[Sales])</f>
        <v>5223.2100000000009</v>
      </c>
      <c r="K93" s="11">
        <f t="shared" ca="1" si="2"/>
        <v>46120.473312499998</v>
      </c>
    </row>
    <row r="94" spans="1:11" ht="15.75" customHeight="1" x14ac:dyDescent="0.35">
      <c r="A94" s="2" t="s">
        <v>39</v>
      </c>
      <c r="B94" s="2" t="s">
        <v>140</v>
      </c>
      <c r="C94" s="2" t="s">
        <v>47</v>
      </c>
      <c r="D94" s="2" t="s">
        <v>14</v>
      </c>
      <c r="E94" s="3">
        <v>1677.04</v>
      </c>
      <c r="F94" s="2">
        <v>18</v>
      </c>
      <c r="G94" s="4">
        <v>0.15</v>
      </c>
      <c r="H94" s="5">
        <v>45554</v>
      </c>
      <c r="I94" s="3">
        <v>703.32</v>
      </c>
      <c r="J94" s="3">
        <f>SUMIF(Table1[Customer_ID],Table1[[#This Row],[Customer_ID]],Table1[Sales])</f>
        <v>8104.79</v>
      </c>
      <c r="K94" s="6">
        <f t="shared" ca="1" si="2"/>
        <v>46120.473312499998</v>
      </c>
    </row>
    <row r="95" spans="1:11" ht="15.75" customHeight="1" x14ac:dyDescent="0.35">
      <c r="A95" s="7" t="s">
        <v>141</v>
      </c>
      <c r="B95" s="7" t="s">
        <v>23</v>
      </c>
      <c r="C95" s="7" t="s">
        <v>50</v>
      </c>
      <c r="D95" s="7" t="s">
        <v>14</v>
      </c>
      <c r="E95" s="8">
        <v>854.83</v>
      </c>
      <c r="F95" s="7">
        <v>8</v>
      </c>
      <c r="G95" s="9">
        <v>0.2</v>
      </c>
      <c r="H95" s="10">
        <v>45557</v>
      </c>
      <c r="I95" s="8">
        <v>175.69</v>
      </c>
      <c r="J95" s="8">
        <f>SUMIF(Table1[Customer_ID],Table1[[#This Row],[Customer_ID]],Table1[Sales])</f>
        <v>3195.56</v>
      </c>
      <c r="K95" s="11">
        <f t="shared" ca="1" si="2"/>
        <v>46120.473312499998</v>
      </c>
    </row>
    <row r="96" spans="1:11" ht="15.75" customHeight="1" x14ac:dyDescent="0.35">
      <c r="A96" s="2" t="s">
        <v>44</v>
      </c>
      <c r="B96" s="2" t="s">
        <v>142</v>
      </c>
      <c r="C96" s="2" t="s">
        <v>32</v>
      </c>
      <c r="D96" s="2" t="s">
        <v>51</v>
      </c>
      <c r="E96" s="3">
        <v>889.59</v>
      </c>
      <c r="F96" s="2">
        <v>7</v>
      </c>
      <c r="G96" s="4">
        <v>0.15</v>
      </c>
      <c r="H96" s="5">
        <v>45559</v>
      </c>
      <c r="I96" s="3">
        <v>283</v>
      </c>
      <c r="J96" s="3">
        <f>SUMIF(Table1[Customer_ID],Table1[[#This Row],[Customer_ID]],Table1[Sales])</f>
        <v>9958.1600000000017</v>
      </c>
      <c r="K96" s="6">
        <f t="shared" ca="1" si="2"/>
        <v>46120.473312499998</v>
      </c>
    </row>
    <row r="97" spans="1:11" ht="15.75" customHeight="1" x14ac:dyDescent="0.35">
      <c r="A97" s="7" t="s">
        <v>111</v>
      </c>
      <c r="B97" s="7" t="s">
        <v>143</v>
      </c>
      <c r="C97" s="7" t="s">
        <v>13</v>
      </c>
      <c r="D97" s="7" t="s">
        <v>25</v>
      </c>
      <c r="E97" s="8">
        <v>629.39</v>
      </c>
      <c r="F97" s="7">
        <v>7</v>
      </c>
      <c r="G97" s="9">
        <v>0.15</v>
      </c>
      <c r="H97" s="10">
        <v>45560</v>
      </c>
      <c r="I97" s="8">
        <v>187.25</v>
      </c>
      <c r="J97" s="8">
        <f>SUMIF(Table1[Customer_ID],Table1[[#This Row],[Customer_ID]],Table1[Sales])</f>
        <v>5223.2100000000009</v>
      </c>
      <c r="K97" s="11">
        <f t="shared" ca="1" si="2"/>
        <v>46120.473312499998</v>
      </c>
    </row>
    <row r="98" spans="1:11" ht="15.75" customHeight="1" x14ac:dyDescent="0.35">
      <c r="A98" s="2" t="s">
        <v>104</v>
      </c>
      <c r="B98" s="2" t="s">
        <v>113</v>
      </c>
      <c r="C98" s="2" t="s">
        <v>47</v>
      </c>
      <c r="D98" s="2" t="s">
        <v>25</v>
      </c>
      <c r="E98" s="3">
        <v>1001.95</v>
      </c>
      <c r="F98" s="2">
        <v>16</v>
      </c>
      <c r="G98" s="4">
        <v>0.1</v>
      </c>
      <c r="H98" s="5">
        <v>45562</v>
      </c>
      <c r="I98" s="3">
        <v>393.94</v>
      </c>
      <c r="J98" s="3">
        <f>SUMIF(Table1[Customer_ID],Table1[[#This Row],[Customer_ID]],Table1[Sales])</f>
        <v>3099.23</v>
      </c>
      <c r="K98" s="6">
        <f t="shared" ref="K98:K129" ca="1" si="3">NOW()</f>
        <v>46120.473312499998</v>
      </c>
    </row>
    <row r="99" spans="1:11" ht="15.75" customHeight="1" x14ac:dyDescent="0.35">
      <c r="A99" s="7" t="s">
        <v>45</v>
      </c>
      <c r="B99" s="7" t="s">
        <v>38</v>
      </c>
      <c r="C99" s="7" t="s">
        <v>24</v>
      </c>
      <c r="D99" s="7" t="s">
        <v>51</v>
      </c>
      <c r="E99" s="8">
        <v>306.24</v>
      </c>
      <c r="F99" s="7">
        <v>9</v>
      </c>
      <c r="G99" s="9">
        <v>0.1</v>
      </c>
      <c r="H99" s="10">
        <v>45565</v>
      </c>
      <c r="I99" s="8">
        <v>98.87</v>
      </c>
      <c r="J99" s="8">
        <f>SUMIF(Table1[Customer_ID],Table1[[#This Row],[Customer_ID]],Table1[Sales])</f>
        <v>8044.2</v>
      </c>
      <c r="K99" s="11">
        <f t="shared" ca="1" si="3"/>
        <v>46120.473312499998</v>
      </c>
    </row>
    <row r="100" spans="1:11" ht="15.75" customHeight="1" x14ac:dyDescent="0.35">
      <c r="A100" s="2" t="s">
        <v>80</v>
      </c>
      <c r="B100" s="2" t="s">
        <v>144</v>
      </c>
      <c r="C100" s="2" t="s">
        <v>13</v>
      </c>
      <c r="D100" s="2" t="s">
        <v>25</v>
      </c>
      <c r="E100" s="3">
        <v>1070.26</v>
      </c>
      <c r="F100" s="2">
        <v>12</v>
      </c>
      <c r="G100" s="4">
        <v>0.1</v>
      </c>
      <c r="H100" s="5">
        <v>45566</v>
      </c>
      <c r="I100" s="3">
        <v>318.81</v>
      </c>
      <c r="J100" s="3">
        <f>SUMIF(Table1[Customer_ID],Table1[[#This Row],[Customer_ID]],Table1[Sales])</f>
        <v>6436.7800000000007</v>
      </c>
      <c r="K100" s="6">
        <f t="shared" ca="1" si="3"/>
        <v>46120.473312499998</v>
      </c>
    </row>
    <row r="101" spans="1:11" ht="15.75" customHeight="1" x14ac:dyDescent="0.35">
      <c r="A101" s="7" t="s">
        <v>39</v>
      </c>
      <c r="B101" s="7" t="s">
        <v>145</v>
      </c>
      <c r="C101" s="7" t="s">
        <v>13</v>
      </c>
      <c r="D101" s="7" t="s">
        <v>14</v>
      </c>
      <c r="E101" s="8">
        <v>412.51</v>
      </c>
      <c r="F101" s="7">
        <v>4</v>
      </c>
      <c r="G101" s="9">
        <v>0.1</v>
      </c>
      <c r="H101" s="10">
        <v>45568</v>
      </c>
      <c r="I101" s="8">
        <v>169.67</v>
      </c>
      <c r="J101" s="8">
        <f>SUMIF(Table1[Customer_ID],Table1[[#This Row],[Customer_ID]],Table1[Sales])</f>
        <v>8104.79</v>
      </c>
      <c r="K101" s="11">
        <f t="shared" ca="1" si="3"/>
        <v>46120.473312499998</v>
      </c>
    </row>
    <row r="102" spans="1:11" ht="15.75" customHeight="1" x14ac:dyDescent="0.35">
      <c r="A102" s="2" t="s">
        <v>102</v>
      </c>
      <c r="B102" s="2" t="s">
        <v>146</v>
      </c>
      <c r="C102" s="2" t="s">
        <v>47</v>
      </c>
      <c r="D102" s="2" t="s">
        <v>25</v>
      </c>
      <c r="E102" s="3">
        <v>327.69</v>
      </c>
      <c r="F102" s="2">
        <v>12</v>
      </c>
      <c r="G102" s="4">
        <v>0</v>
      </c>
      <c r="H102" s="5">
        <v>45575</v>
      </c>
      <c r="I102" s="3">
        <v>89.63</v>
      </c>
      <c r="J102" s="3">
        <f>SUMIF(Table1[Customer_ID],Table1[[#This Row],[Customer_ID]],Table1[Sales])</f>
        <v>4080.45</v>
      </c>
      <c r="K102" s="6">
        <f t="shared" ca="1" si="3"/>
        <v>46120.473312499998</v>
      </c>
    </row>
    <row r="103" spans="1:11" ht="15.75" customHeight="1" x14ac:dyDescent="0.35">
      <c r="A103" s="7" t="s">
        <v>147</v>
      </c>
      <c r="B103" s="7" t="s">
        <v>148</v>
      </c>
      <c r="C103" s="7" t="s">
        <v>13</v>
      </c>
      <c r="D103" s="7" t="s">
        <v>41</v>
      </c>
      <c r="E103" s="8">
        <v>971.77</v>
      </c>
      <c r="F103" s="7">
        <v>19</v>
      </c>
      <c r="G103" s="9">
        <v>0.15</v>
      </c>
      <c r="H103" s="10">
        <v>45577</v>
      </c>
      <c r="I103" s="8">
        <v>268.95</v>
      </c>
      <c r="J103" s="8">
        <f>SUMIF(Table1[Customer_ID],Table1[[#This Row],[Customer_ID]],Table1[Sales])</f>
        <v>6213.91</v>
      </c>
      <c r="K103" s="11">
        <f t="shared" ca="1" si="3"/>
        <v>46120.473312499998</v>
      </c>
    </row>
    <row r="104" spans="1:11" ht="15.75" customHeight="1" x14ac:dyDescent="0.35">
      <c r="A104" s="2" t="s">
        <v>147</v>
      </c>
      <c r="B104" s="2" t="s">
        <v>149</v>
      </c>
      <c r="C104" s="2" t="s">
        <v>24</v>
      </c>
      <c r="D104" s="2" t="s">
        <v>25</v>
      </c>
      <c r="E104" s="3">
        <v>773.57</v>
      </c>
      <c r="F104" s="2">
        <v>16</v>
      </c>
      <c r="G104" s="4">
        <v>0.05</v>
      </c>
      <c r="H104" s="5">
        <v>45580</v>
      </c>
      <c r="I104" s="3">
        <v>338.37</v>
      </c>
      <c r="J104" s="3">
        <f>SUMIF(Table1[Customer_ID],Table1[[#This Row],[Customer_ID]],Table1[Sales])</f>
        <v>6213.91</v>
      </c>
      <c r="K104" s="6">
        <f t="shared" ca="1" si="3"/>
        <v>46120.473312499998</v>
      </c>
    </row>
    <row r="105" spans="1:11" ht="15.75" customHeight="1" x14ac:dyDescent="0.35">
      <c r="A105" s="7" t="s">
        <v>27</v>
      </c>
      <c r="B105" s="7" t="s">
        <v>150</v>
      </c>
      <c r="C105" s="7" t="s">
        <v>47</v>
      </c>
      <c r="D105" s="7" t="s">
        <v>51</v>
      </c>
      <c r="E105" s="8">
        <v>1880.22</v>
      </c>
      <c r="F105" s="7">
        <v>16</v>
      </c>
      <c r="G105" s="9">
        <v>0.15</v>
      </c>
      <c r="H105" s="10">
        <v>45580</v>
      </c>
      <c r="I105" s="8">
        <v>984.31</v>
      </c>
      <c r="J105" s="8">
        <f>SUMIF(Table1[Customer_ID],Table1[[#This Row],[Customer_ID]],Table1[Sales])</f>
        <v>7755.0599999999995</v>
      </c>
      <c r="K105" s="11">
        <f t="shared" ca="1" si="3"/>
        <v>46120.473312499998</v>
      </c>
    </row>
    <row r="106" spans="1:11" ht="15.75" customHeight="1" x14ac:dyDescent="0.35">
      <c r="A106" s="2" t="s">
        <v>44</v>
      </c>
      <c r="B106" s="2" t="s">
        <v>131</v>
      </c>
      <c r="C106" s="2" t="s">
        <v>47</v>
      </c>
      <c r="D106" s="2" t="s">
        <v>51</v>
      </c>
      <c r="E106" s="3">
        <v>1013.38</v>
      </c>
      <c r="F106" s="2">
        <v>12</v>
      </c>
      <c r="G106" s="4">
        <v>0.05</v>
      </c>
      <c r="H106" s="5">
        <v>45581</v>
      </c>
      <c r="I106" s="3">
        <v>328.68</v>
      </c>
      <c r="J106" s="3">
        <f>SUMIF(Table1[Customer_ID],Table1[[#This Row],[Customer_ID]],Table1[Sales])</f>
        <v>9958.1600000000017</v>
      </c>
      <c r="K106" s="6">
        <f t="shared" ca="1" si="3"/>
        <v>46120.473312499998</v>
      </c>
    </row>
    <row r="107" spans="1:11" ht="15.75" customHeight="1" x14ac:dyDescent="0.35">
      <c r="A107" s="7" t="s">
        <v>33</v>
      </c>
      <c r="B107" s="7" t="s">
        <v>151</v>
      </c>
      <c r="C107" s="7" t="s">
        <v>47</v>
      </c>
      <c r="D107" s="7" t="s">
        <v>41</v>
      </c>
      <c r="E107" s="8">
        <v>311.95</v>
      </c>
      <c r="F107" s="7">
        <v>5</v>
      </c>
      <c r="G107" s="9">
        <v>0.15</v>
      </c>
      <c r="H107" s="10">
        <v>45581</v>
      </c>
      <c r="I107" s="8">
        <v>103.01</v>
      </c>
      <c r="J107" s="8">
        <f>SUMIF(Table1[Customer_ID],Table1[[#This Row],[Customer_ID]],Table1[Sales])</f>
        <v>11063.92</v>
      </c>
      <c r="K107" s="11">
        <f t="shared" ca="1" si="3"/>
        <v>46120.473312499998</v>
      </c>
    </row>
    <row r="108" spans="1:11" ht="15.75" customHeight="1" x14ac:dyDescent="0.35">
      <c r="A108" s="2" t="s">
        <v>128</v>
      </c>
      <c r="B108" s="2" t="s">
        <v>152</v>
      </c>
      <c r="C108" s="2" t="s">
        <v>13</v>
      </c>
      <c r="D108" s="2" t="s">
        <v>25</v>
      </c>
      <c r="E108" s="3">
        <v>1891.97</v>
      </c>
      <c r="F108" s="2">
        <v>8</v>
      </c>
      <c r="G108" s="4">
        <v>0.2</v>
      </c>
      <c r="H108" s="5">
        <v>45588</v>
      </c>
      <c r="I108" s="3">
        <v>533.05999999999995</v>
      </c>
      <c r="J108" s="3">
        <f>SUMIF(Table1[Customer_ID],Table1[[#This Row],[Customer_ID]],Table1[Sales])</f>
        <v>5212.66</v>
      </c>
      <c r="K108" s="6">
        <f t="shared" ca="1" si="3"/>
        <v>46120.473312499998</v>
      </c>
    </row>
    <row r="109" spans="1:11" ht="15.75" customHeight="1" x14ac:dyDescent="0.35">
      <c r="A109" s="7" t="s">
        <v>29</v>
      </c>
      <c r="B109" s="7" t="s">
        <v>153</v>
      </c>
      <c r="C109" s="7" t="s">
        <v>47</v>
      </c>
      <c r="D109" s="7" t="s">
        <v>14</v>
      </c>
      <c r="E109" s="8">
        <v>918.49</v>
      </c>
      <c r="F109" s="7">
        <v>12</v>
      </c>
      <c r="G109" s="9">
        <v>0.05</v>
      </c>
      <c r="H109" s="10">
        <v>45589</v>
      </c>
      <c r="I109" s="8">
        <v>503.41</v>
      </c>
      <c r="J109" s="8">
        <f>SUMIF(Table1[Customer_ID],Table1[[#This Row],[Customer_ID]],Table1[Sales])</f>
        <v>11216.81</v>
      </c>
      <c r="K109" s="11">
        <f t="shared" ca="1" si="3"/>
        <v>46120.473312499998</v>
      </c>
    </row>
    <row r="110" spans="1:11" ht="15.75" customHeight="1" x14ac:dyDescent="0.35">
      <c r="A110" s="2" t="s">
        <v>30</v>
      </c>
      <c r="B110" s="2" t="s">
        <v>154</v>
      </c>
      <c r="C110" s="2" t="s">
        <v>24</v>
      </c>
      <c r="D110" s="2" t="s">
        <v>41</v>
      </c>
      <c r="E110" s="3">
        <v>1646.37</v>
      </c>
      <c r="F110" s="2">
        <v>12</v>
      </c>
      <c r="G110" s="4">
        <v>0</v>
      </c>
      <c r="H110" s="5">
        <v>45595</v>
      </c>
      <c r="I110" s="3">
        <v>825.85</v>
      </c>
      <c r="J110" s="3">
        <f>SUMIF(Table1[Customer_ID],Table1[[#This Row],[Customer_ID]],Table1[Sales])</f>
        <v>9513.89</v>
      </c>
      <c r="K110" s="6">
        <f t="shared" ca="1" si="3"/>
        <v>46120.473312499998</v>
      </c>
    </row>
    <row r="111" spans="1:11" ht="15.75" customHeight="1" x14ac:dyDescent="0.35">
      <c r="A111" s="7" t="s">
        <v>33</v>
      </c>
      <c r="B111" s="7" t="s">
        <v>64</v>
      </c>
      <c r="C111" s="7" t="s">
        <v>47</v>
      </c>
      <c r="D111" s="7" t="s">
        <v>41</v>
      </c>
      <c r="E111" s="8">
        <v>581.92999999999995</v>
      </c>
      <c r="F111" s="7">
        <v>13</v>
      </c>
      <c r="G111" s="9">
        <v>0.15</v>
      </c>
      <c r="H111" s="10">
        <v>45596</v>
      </c>
      <c r="I111" s="8">
        <v>166.08</v>
      </c>
      <c r="J111" s="8">
        <f>SUMIF(Table1[Customer_ID],Table1[[#This Row],[Customer_ID]],Table1[Sales])</f>
        <v>11063.92</v>
      </c>
      <c r="K111" s="11">
        <f t="shared" ca="1" si="3"/>
        <v>46120.473312499998</v>
      </c>
    </row>
    <row r="112" spans="1:11" ht="15.75" customHeight="1" x14ac:dyDescent="0.35">
      <c r="A112" s="2" t="s">
        <v>111</v>
      </c>
      <c r="B112" s="2" t="s">
        <v>155</v>
      </c>
      <c r="C112" s="2" t="s">
        <v>13</v>
      </c>
      <c r="D112" s="2" t="s">
        <v>14</v>
      </c>
      <c r="E112" s="3">
        <v>639.59</v>
      </c>
      <c r="F112" s="2">
        <v>2</v>
      </c>
      <c r="G112" s="4">
        <v>0.1</v>
      </c>
      <c r="H112" s="5">
        <v>45597</v>
      </c>
      <c r="I112" s="3">
        <v>187.85</v>
      </c>
      <c r="J112" s="3">
        <f>SUMIF(Table1[Customer_ID],Table1[[#This Row],[Customer_ID]],Table1[Sales])</f>
        <v>5223.2100000000009</v>
      </c>
      <c r="K112" s="6">
        <f t="shared" ca="1" si="3"/>
        <v>46120.473312499998</v>
      </c>
    </row>
    <row r="113" spans="1:11" ht="15.75" customHeight="1" x14ac:dyDescent="0.35">
      <c r="A113" s="7" t="s">
        <v>22</v>
      </c>
      <c r="B113" s="7" t="s">
        <v>156</v>
      </c>
      <c r="C113" s="7" t="s">
        <v>50</v>
      </c>
      <c r="D113" s="7" t="s">
        <v>41</v>
      </c>
      <c r="E113" s="8">
        <v>1217.97</v>
      </c>
      <c r="F113" s="7">
        <v>8</v>
      </c>
      <c r="G113" s="9">
        <v>0.15</v>
      </c>
      <c r="H113" s="10">
        <v>45600</v>
      </c>
      <c r="I113" s="8">
        <v>324.76</v>
      </c>
      <c r="J113" s="8">
        <f>SUMIF(Table1[Customer_ID],Table1[[#This Row],[Customer_ID]],Table1[Sales])</f>
        <v>4192.32</v>
      </c>
      <c r="K113" s="11">
        <f t="shared" ca="1" si="3"/>
        <v>46120.473312499998</v>
      </c>
    </row>
    <row r="114" spans="1:11" ht="15.75" customHeight="1" x14ac:dyDescent="0.35">
      <c r="A114" s="2" t="s">
        <v>58</v>
      </c>
      <c r="B114" s="2" t="s">
        <v>157</v>
      </c>
      <c r="C114" s="2" t="s">
        <v>32</v>
      </c>
      <c r="D114" s="2" t="s">
        <v>41</v>
      </c>
      <c r="E114" s="3">
        <v>1837.47</v>
      </c>
      <c r="F114" s="2">
        <v>3</v>
      </c>
      <c r="G114" s="4">
        <v>0.05</v>
      </c>
      <c r="H114" s="5">
        <v>45600</v>
      </c>
      <c r="I114" s="3">
        <v>681.71</v>
      </c>
      <c r="J114" s="3">
        <f>SUMIF(Table1[Customer_ID],Table1[[#This Row],[Customer_ID]],Table1[Sales])</f>
        <v>5289.4699999999993</v>
      </c>
      <c r="K114" s="6">
        <f t="shared" ca="1" si="3"/>
        <v>46120.473312499998</v>
      </c>
    </row>
    <row r="115" spans="1:11" ht="15.75" customHeight="1" x14ac:dyDescent="0.35">
      <c r="A115" s="7" t="s">
        <v>39</v>
      </c>
      <c r="B115" s="7" t="s">
        <v>158</v>
      </c>
      <c r="C115" s="7" t="s">
        <v>50</v>
      </c>
      <c r="D115" s="7" t="s">
        <v>25</v>
      </c>
      <c r="E115" s="8">
        <v>1177.6199999999999</v>
      </c>
      <c r="F115" s="7">
        <v>6</v>
      </c>
      <c r="G115" s="9">
        <v>0</v>
      </c>
      <c r="H115" s="10">
        <v>45601</v>
      </c>
      <c r="I115" s="8">
        <v>421.21</v>
      </c>
      <c r="J115" s="8">
        <f>SUMIF(Table1[Customer_ID],Table1[[#This Row],[Customer_ID]],Table1[Sales])</f>
        <v>8104.79</v>
      </c>
      <c r="K115" s="11">
        <f t="shared" ca="1" si="3"/>
        <v>46120.473312499998</v>
      </c>
    </row>
    <row r="116" spans="1:11" ht="15.75" customHeight="1" x14ac:dyDescent="0.35">
      <c r="A116" s="2" t="s">
        <v>17</v>
      </c>
      <c r="B116" s="2" t="s">
        <v>159</v>
      </c>
      <c r="C116" s="2" t="s">
        <v>50</v>
      </c>
      <c r="D116" s="2" t="s">
        <v>51</v>
      </c>
      <c r="E116" s="3">
        <v>879.17</v>
      </c>
      <c r="F116" s="2">
        <v>10</v>
      </c>
      <c r="G116" s="4">
        <v>0.15</v>
      </c>
      <c r="H116" s="5">
        <v>45601</v>
      </c>
      <c r="I116" s="3">
        <v>414.14</v>
      </c>
      <c r="J116" s="3">
        <f>SUMIF(Table1[Customer_ID],Table1[[#This Row],[Customer_ID]],Table1[Sales])</f>
        <v>5612.99</v>
      </c>
      <c r="K116" s="6">
        <f t="shared" ca="1" si="3"/>
        <v>46120.473312499998</v>
      </c>
    </row>
    <row r="117" spans="1:11" ht="15.75" customHeight="1" x14ac:dyDescent="0.35">
      <c r="A117" s="7" t="s">
        <v>30</v>
      </c>
      <c r="B117" s="7" t="s">
        <v>145</v>
      </c>
      <c r="C117" s="7" t="s">
        <v>32</v>
      </c>
      <c r="D117" s="7" t="s">
        <v>19</v>
      </c>
      <c r="E117" s="8">
        <v>937.06</v>
      </c>
      <c r="F117" s="7">
        <v>18</v>
      </c>
      <c r="G117" s="9">
        <v>0.15</v>
      </c>
      <c r="H117" s="10">
        <v>45604</v>
      </c>
      <c r="I117" s="8">
        <v>207.83</v>
      </c>
      <c r="J117" s="8">
        <f>SUMIF(Table1[Customer_ID],Table1[[#This Row],[Customer_ID]],Table1[Sales])</f>
        <v>9513.89</v>
      </c>
      <c r="K117" s="11">
        <f t="shared" ca="1" si="3"/>
        <v>46120.473312499998</v>
      </c>
    </row>
    <row r="118" spans="1:11" ht="15.75" customHeight="1" x14ac:dyDescent="0.35">
      <c r="A118" s="2" t="s">
        <v>58</v>
      </c>
      <c r="B118" s="2" t="s">
        <v>160</v>
      </c>
      <c r="C118" s="2" t="s">
        <v>13</v>
      </c>
      <c r="D118" s="2" t="s">
        <v>25</v>
      </c>
      <c r="E118" s="3">
        <v>1515.74</v>
      </c>
      <c r="F118" s="2">
        <v>4</v>
      </c>
      <c r="G118" s="4">
        <v>0.1</v>
      </c>
      <c r="H118" s="5">
        <v>45612</v>
      </c>
      <c r="I118" s="3">
        <v>361.98</v>
      </c>
      <c r="J118" s="3">
        <f>SUMIF(Table1[Customer_ID],Table1[[#This Row],[Customer_ID]],Table1[Sales])</f>
        <v>5289.4699999999993</v>
      </c>
      <c r="K118" s="6">
        <f t="shared" ca="1" si="3"/>
        <v>46120.473312499998</v>
      </c>
    </row>
    <row r="119" spans="1:11" ht="15.75" customHeight="1" x14ac:dyDescent="0.35">
      <c r="A119" s="7" t="s">
        <v>104</v>
      </c>
      <c r="B119" s="7" t="s">
        <v>161</v>
      </c>
      <c r="C119" s="7" t="s">
        <v>13</v>
      </c>
      <c r="D119" s="7" t="s">
        <v>51</v>
      </c>
      <c r="E119" s="8">
        <v>804.65</v>
      </c>
      <c r="F119" s="7">
        <v>1</v>
      </c>
      <c r="G119" s="9">
        <v>0.15</v>
      </c>
      <c r="H119" s="10">
        <v>45612</v>
      </c>
      <c r="I119" s="8">
        <v>210.41</v>
      </c>
      <c r="J119" s="8">
        <f>SUMIF(Table1[Customer_ID],Table1[[#This Row],[Customer_ID]],Table1[Sales])</f>
        <v>3099.23</v>
      </c>
      <c r="K119" s="11">
        <f t="shared" ca="1" si="3"/>
        <v>46120.473312499998</v>
      </c>
    </row>
    <row r="120" spans="1:11" ht="15.75" customHeight="1" x14ac:dyDescent="0.35">
      <c r="A120" s="2" t="s">
        <v>35</v>
      </c>
      <c r="B120" s="2" t="s">
        <v>162</v>
      </c>
      <c r="C120" s="2" t="s">
        <v>13</v>
      </c>
      <c r="D120" s="2" t="s">
        <v>41</v>
      </c>
      <c r="E120" s="3">
        <v>1505.76</v>
      </c>
      <c r="F120" s="2">
        <v>19</v>
      </c>
      <c r="G120" s="4">
        <v>0.1</v>
      </c>
      <c r="H120" s="5">
        <v>45616</v>
      </c>
      <c r="I120" s="3">
        <v>366.69</v>
      </c>
      <c r="J120" s="3">
        <f>SUMIF(Table1[Customer_ID],Table1[[#This Row],[Customer_ID]],Table1[Sales])</f>
        <v>10564.119999999999</v>
      </c>
      <c r="K120" s="6">
        <f t="shared" ca="1" si="3"/>
        <v>46120.473312499998</v>
      </c>
    </row>
    <row r="121" spans="1:11" ht="15.75" customHeight="1" x14ac:dyDescent="0.35">
      <c r="A121" s="7" t="s">
        <v>33</v>
      </c>
      <c r="B121" s="7" t="s">
        <v>163</v>
      </c>
      <c r="C121" s="7" t="s">
        <v>32</v>
      </c>
      <c r="D121" s="7" t="s">
        <v>25</v>
      </c>
      <c r="E121" s="8">
        <v>702.92</v>
      </c>
      <c r="F121" s="7">
        <v>5</v>
      </c>
      <c r="G121" s="9">
        <v>0.1</v>
      </c>
      <c r="H121" s="10">
        <v>45616</v>
      </c>
      <c r="I121" s="8">
        <v>357.29</v>
      </c>
      <c r="J121" s="8">
        <f>SUMIF(Table1[Customer_ID],Table1[[#This Row],[Customer_ID]],Table1[Sales])</f>
        <v>11063.92</v>
      </c>
      <c r="K121" s="11">
        <f t="shared" ca="1" si="3"/>
        <v>46120.473312499998</v>
      </c>
    </row>
    <row r="122" spans="1:11" ht="15.75" customHeight="1" x14ac:dyDescent="0.35">
      <c r="A122" s="2" t="s">
        <v>26</v>
      </c>
      <c r="B122" s="2" t="s">
        <v>164</v>
      </c>
      <c r="C122" s="2" t="s">
        <v>32</v>
      </c>
      <c r="D122" s="2" t="s">
        <v>41</v>
      </c>
      <c r="E122" s="3">
        <v>1334.45</v>
      </c>
      <c r="F122" s="2">
        <v>2</v>
      </c>
      <c r="G122" s="4">
        <v>0.05</v>
      </c>
      <c r="H122" s="5">
        <v>45616</v>
      </c>
      <c r="I122" s="3">
        <v>729.74</v>
      </c>
      <c r="J122" s="3">
        <f>SUMIF(Table1[Customer_ID],Table1[[#This Row],[Customer_ID]],Table1[Sales])</f>
        <v>11576.38</v>
      </c>
      <c r="K122" s="6">
        <f t="shared" ca="1" si="3"/>
        <v>46120.473312499998</v>
      </c>
    </row>
    <row r="123" spans="1:11" ht="15.75" customHeight="1" x14ac:dyDescent="0.35">
      <c r="A123" s="7" t="s">
        <v>63</v>
      </c>
      <c r="B123" s="7" t="s">
        <v>165</v>
      </c>
      <c r="C123" s="7" t="s">
        <v>13</v>
      </c>
      <c r="D123" s="7" t="s">
        <v>25</v>
      </c>
      <c r="E123" s="8">
        <v>1304.6600000000001</v>
      </c>
      <c r="F123" s="7">
        <v>2</v>
      </c>
      <c r="G123" s="9">
        <v>0.1</v>
      </c>
      <c r="H123" s="10">
        <v>45617</v>
      </c>
      <c r="I123" s="8">
        <v>276.17</v>
      </c>
      <c r="J123" s="8">
        <f>SUMIF(Table1[Customer_ID],Table1[[#This Row],[Customer_ID]],Table1[Sales])</f>
        <v>7264.36</v>
      </c>
      <c r="K123" s="11">
        <f t="shared" ca="1" si="3"/>
        <v>46120.473312499998</v>
      </c>
    </row>
    <row r="124" spans="1:11" ht="15.75" customHeight="1" x14ac:dyDescent="0.35">
      <c r="A124" s="2" t="s">
        <v>39</v>
      </c>
      <c r="B124" s="2" t="s">
        <v>166</v>
      </c>
      <c r="C124" s="2" t="s">
        <v>13</v>
      </c>
      <c r="D124" s="2" t="s">
        <v>25</v>
      </c>
      <c r="E124" s="3">
        <v>1319.43</v>
      </c>
      <c r="F124" s="2">
        <v>9</v>
      </c>
      <c r="G124" s="4">
        <v>0.05</v>
      </c>
      <c r="H124" s="5">
        <v>45618</v>
      </c>
      <c r="I124" s="3">
        <v>518.65</v>
      </c>
      <c r="J124" s="3">
        <f>SUMIF(Table1[Customer_ID],Table1[[#This Row],[Customer_ID]],Table1[Sales])</f>
        <v>8104.79</v>
      </c>
      <c r="K124" s="6">
        <f t="shared" ca="1" si="3"/>
        <v>46120.473312499998</v>
      </c>
    </row>
    <row r="125" spans="1:11" ht="15.75" customHeight="1" x14ac:dyDescent="0.35">
      <c r="A125" s="7" t="s">
        <v>26</v>
      </c>
      <c r="B125" s="7" t="s">
        <v>167</v>
      </c>
      <c r="C125" s="7" t="s">
        <v>47</v>
      </c>
      <c r="D125" s="7" t="s">
        <v>51</v>
      </c>
      <c r="E125" s="8">
        <v>1386.9</v>
      </c>
      <c r="F125" s="7">
        <v>6</v>
      </c>
      <c r="G125" s="9">
        <v>0</v>
      </c>
      <c r="H125" s="10">
        <v>45618</v>
      </c>
      <c r="I125" s="8">
        <v>736.21</v>
      </c>
      <c r="J125" s="8">
        <f>SUMIF(Table1[Customer_ID],Table1[[#This Row],[Customer_ID]],Table1[Sales])</f>
        <v>11576.38</v>
      </c>
      <c r="K125" s="11">
        <f t="shared" ca="1" si="3"/>
        <v>46120.473312499998</v>
      </c>
    </row>
    <row r="126" spans="1:11" ht="15.75" customHeight="1" x14ac:dyDescent="0.35">
      <c r="A126" s="2" t="s">
        <v>26</v>
      </c>
      <c r="B126" s="2" t="s">
        <v>168</v>
      </c>
      <c r="C126" s="2" t="s">
        <v>47</v>
      </c>
      <c r="D126" s="2" t="s">
        <v>19</v>
      </c>
      <c r="E126" s="3">
        <v>968.17</v>
      </c>
      <c r="F126" s="2">
        <v>4</v>
      </c>
      <c r="G126" s="4">
        <v>0.15</v>
      </c>
      <c r="H126" s="5">
        <v>45619</v>
      </c>
      <c r="I126" s="3">
        <v>218.54</v>
      </c>
      <c r="J126" s="3">
        <f>SUMIF(Table1[Customer_ID],Table1[[#This Row],[Customer_ID]],Table1[Sales])</f>
        <v>11576.38</v>
      </c>
      <c r="K126" s="6">
        <f t="shared" ca="1" si="3"/>
        <v>46120.473312499998</v>
      </c>
    </row>
    <row r="127" spans="1:11" ht="15.75" customHeight="1" x14ac:dyDescent="0.35">
      <c r="A127" s="7" t="s">
        <v>39</v>
      </c>
      <c r="B127" s="7" t="s">
        <v>169</v>
      </c>
      <c r="C127" s="7" t="s">
        <v>47</v>
      </c>
      <c r="D127" s="7" t="s">
        <v>41</v>
      </c>
      <c r="E127" s="8">
        <v>447.34</v>
      </c>
      <c r="F127" s="7">
        <v>3</v>
      </c>
      <c r="G127" s="9">
        <v>0.15</v>
      </c>
      <c r="H127" s="10">
        <v>45621</v>
      </c>
      <c r="I127" s="8">
        <v>211.28</v>
      </c>
      <c r="J127" s="8">
        <f>SUMIF(Table1[Customer_ID],Table1[[#This Row],[Customer_ID]],Table1[Sales])</f>
        <v>8104.79</v>
      </c>
      <c r="K127" s="11">
        <f t="shared" ca="1" si="3"/>
        <v>46120.473312499998</v>
      </c>
    </row>
    <row r="128" spans="1:11" ht="15.75" customHeight="1" x14ac:dyDescent="0.35">
      <c r="A128" s="2" t="s">
        <v>33</v>
      </c>
      <c r="B128" s="2" t="s">
        <v>170</v>
      </c>
      <c r="C128" s="2" t="s">
        <v>24</v>
      </c>
      <c r="D128" s="2" t="s">
        <v>41</v>
      </c>
      <c r="E128" s="3">
        <v>633.99</v>
      </c>
      <c r="F128" s="2">
        <v>17</v>
      </c>
      <c r="G128" s="4">
        <v>0.15</v>
      </c>
      <c r="H128" s="5">
        <v>45622</v>
      </c>
      <c r="I128" s="3">
        <v>328.39</v>
      </c>
      <c r="J128" s="3">
        <f>SUMIF(Table1[Customer_ID],Table1[[#This Row],[Customer_ID]],Table1[Sales])</f>
        <v>11063.92</v>
      </c>
      <c r="K128" s="6">
        <f t="shared" ca="1" si="3"/>
        <v>46120.473312499998</v>
      </c>
    </row>
    <row r="129" spans="1:11" ht="15.75" customHeight="1" x14ac:dyDescent="0.35">
      <c r="A129" s="7" t="s">
        <v>45</v>
      </c>
      <c r="B129" s="7" t="s">
        <v>171</v>
      </c>
      <c r="C129" s="7" t="s">
        <v>47</v>
      </c>
      <c r="D129" s="7" t="s">
        <v>19</v>
      </c>
      <c r="E129" s="8">
        <v>1737.56</v>
      </c>
      <c r="F129" s="7">
        <v>14</v>
      </c>
      <c r="G129" s="9">
        <v>0.1</v>
      </c>
      <c r="H129" s="10">
        <v>45624</v>
      </c>
      <c r="I129" s="8">
        <v>590</v>
      </c>
      <c r="J129" s="8">
        <f>SUMIF(Table1[Customer_ID],Table1[[#This Row],[Customer_ID]],Table1[Sales])</f>
        <v>8044.2</v>
      </c>
      <c r="K129" s="11">
        <f t="shared" ca="1" si="3"/>
        <v>46120.473312499998</v>
      </c>
    </row>
    <row r="130" spans="1:11" ht="15.75" customHeight="1" x14ac:dyDescent="0.35">
      <c r="A130" s="2" t="s">
        <v>11</v>
      </c>
      <c r="B130" s="2" t="s">
        <v>133</v>
      </c>
      <c r="C130" s="2" t="s">
        <v>24</v>
      </c>
      <c r="D130" s="2" t="s">
        <v>25</v>
      </c>
      <c r="E130" s="3">
        <v>1147.8800000000001</v>
      </c>
      <c r="F130" s="2">
        <v>8</v>
      </c>
      <c r="G130" s="4">
        <v>0.05</v>
      </c>
      <c r="H130" s="5">
        <v>45628</v>
      </c>
      <c r="I130" s="3">
        <v>382.03</v>
      </c>
      <c r="J130" s="3">
        <f>SUMIF(Table1[Customer_ID],Table1[[#This Row],[Customer_ID]],Table1[Sales])</f>
        <v>6978.8600000000006</v>
      </c>
      <c r="K130" s="6">
        <f t="shared" ref="K130:K161" ca="1" si="4">NOW()</f>
        <v>46120.473312499998</v>
      </c>
    </row>
    <row r="131" spans="1:11" ht="15.75" customHeight="1" x14ac:dyDescent="0.35">
      <c r="A131" s="7" t="s">
        <v>44</v>
      </c>
      <c r="B131" s="7" t="s">
        <v>172</v>
      </c>
      <c r="C131" s="7" t="s">
        <v>50</v>
      </c>
      <c r="D131" s="7" t="s">
        <v>19</v>
      </c>
      <c r="E131" s="8">
        <v>1778.77</v>
      </c>
      <c r="F131" s="7">
        <v>5</v>
      </c>
      <c r="G131" s="9">
        <v>0.05</v>
      </c>
      <c r="H131" s="10">
        <v>45628</v>
      </c>
      <c r="I131" s="8">
        <v>752.89</v>
      </c>
      <c r="J131" s="8">
        <f>SUMIF(Table1[Customer_ID],Table1[[#This Row],[Customer_ID]],Table1[Sales])</f>
        <v>9958.1600000000017</v>
      </c>
      <c r="K131" s="11">
        <f t="shared" ca="1" si="4"/>
        <v>46120.473312499998</v>
      </c>
    </row>
    <row r="132" spans="1:11" ht="15.75" customHeight="1" x14ac:dyDescent="0.35">
      <c r="A132" s="2" t="s">
        <v>39</v>
      </c>
      <c r="B132" s="2" t="s">
        <v>173</v>
      </c>
      <c r="C132" s="2" t="s">
        <v>32</v>
      </c>
      <c r="D132" s="2" t="s">
        <v>19</v>
      </c>
      <c r="E132" s="3">
        <v>817.99</v>
      </c>
      <c r="F132" s="2">
        <v>13</v>
      </c>
      <c r="G132" s="4">
        <v>0.05</v>
      </c>
      <c r="H132" s="5">
        <v>45631</v>
      </c>
      <c r="I132" s="3">
        <v>426.86</v>
      </c>
      <c r="J132" s="3">
        <f>SUMIF(Table1[Customer_ID],Table1[[#This Row],[Customer_ID]],Table1[Sales])</f>
        <v>8104.79</v>
      </c>
      <c r="K132" s="6">
        <f t="shared" ca="1" si="4"/>
        <v>46120.473312499998</v>
      </c>
    </row>
    <row r="133" spans="1:11" ht="15.75" customHeight="1" x14ac:dyDescent="0.35">
      <c r="A133" s="7" t="s">
        <v>27</v>
      </c>
      <c r="B133" s="7" t="s">
        <v>174</v>
      </c>
      <c r="C133" s="7" t="s">
        <v>13</v>
      </c>
      <c r="D133" s="7" t="s">
        <v>19</v>
      </c>
      <c r="E133" s="8">
        <v>994.02</v>
      </c>
      <c r="F133" s="7">
        <v>7</v>
      </c>
      <c r="G133" s="9">
        <v>0.2</v>
      </c>
      <c r="H133" s="10">
        <v>45634</v>
      </c>
      <c r="I133" s="8">
        <v>474.95</v>
      </c>
      <c r="J133" s="8">
        <f>SUMIF(Table1[Customer_ID],Table1[[#This Row],[Customer_ID]],Table1[Sales])</f>
        <v>7755.0599999999995</v>
      </c>
      <c r="K133" s="11">
        <f t="shared" ca="1" si="4"/>
        <v>46120.473312499998</v>
      </c>
    </row>
    <row r="134" spans="1:11" ht="15.75" customHeight="1" x14ac:dyDescent="0.35">
      <c r="A134" s="2" t="s">
        <v>33</v>
      </c>
      <c r="B134" s="2" t="s">
        <v>175</v>
      </c>
      <c r="C134" s="2" t="s">
        <v>50</v>
      </c>
      <c r="D134" s="2" t="s">
        <v>25</v>
      </c>
      <c r="E134" s="3">
        <v>503.49</v>
      </c>
      <c r="F134" s="2">
        <v>2</v>
      </c>
      <c r="G134" s="4">
        <v>0.05</v>
      </c>
      <c r="H134" s="5">
        <v>45635</v>
      </c>
      <c r="I134" s="3">
        <v>208.42</v>
      </c>
      <c r="J134" s="3">
        <f>SUMIF(Table1[Customer_ID],Table1[[#This Row],[Customer_ID]],Table1[Sales])</f>
        <v>11063.92</v>
      </c>
      <c r="K134" s="6">
        <f t="shared" ca="1" si="4"/>
        <v>46120.473312499998</v>
      </c>
    </row>
    <row r="135" spans="1:11" ht="15.75" customHeight="1" x14ac:dyDescent="0.35">
      <c r="A135" s="7" t="s">
        <v>88</v>
      </c>
      <c r="B135" s="7" t="s">
        <v>176</v>
      </c>
      <c r="C135" s="7" t="s">
        <v>24</v>
      </c>
      <c r="D135" s="7" t="s">
        <v>14</v>
      </c>
      <c r="E135" s="8">
        <v>1685.32</v>
      </c>
      <c r="F135" s="7">
        <v>19</v>
      </c>
      <c r="G135" s="9">
        <v>0.15</v>
      </c>
      <c r="H135" s="10">
        <v>45636</v>
      </c>
      <c r="I135" s="8">
        <v>340.54</v>
      </c>
      <c r="J135" s="8">
        <f>SUMIF(Table1[Customer_ID],Table1[[#This Row],[Customer_ID]],Table1[Sales])</f>
        <v>4541.2299999999996</v>
      </c>
      <c r="K135" s="11">
        <f t="shared" ca="1" si="4"/>
        <v>46120.473312499998</v>
      </c>
    </row>
    <row r="136" spans="1:11" ht="15.75" customHeight="1" x14ac:dyDescent="0.35">
      <c r="A136" s="2" t="s">
        <v>102</v>
      </c>
      <c r="B136" s="2" t="s">
        <v>177</v>
      </c>
      <c r="C136" s="2" t="s">
        <v>13</v>
      </c>
      <c r="D136" s="2" t="s">
        <v>19</v>
      </c>
      <c r="E136" s="3">
        <v>1666.28</v>
      </c>
      <c r="F136" s="2">
        <v>7</v>
      </c>
      <c r="G136" s="4">
        <v>0.15</v>
      </c>
      <c r="H136" s="5">
        <v>45639</v>
      </c>
      <c r="I136" s="3">
        <v>395.46</v>
      </c>
      <c r="J136" s="3">
        <f>SUMIF(Table1[Customer_ID],Table1[[#This Row],[Customer_ID]],Table1[Sales])</f>
        <v>4080.45</v>
      </c>
      <c r="K136" s="6">
        <f t="shared" ca="1" si="4"/>
        <v>46120.473312499998</v>
      </c>
    </row>
    <row r="137" spans="1:11" ht="15.75" customHeight="1" x14ac:dyDescent="0.35">
      <c r="A137" s="7" t="s">
        <v>29</v>
      </c>
      <c r="B137" s="7" t="s">
        <v>178</v>
      </c>
      <c r="C137" s="7" t="s">
        <v>32</v>
      </c>
      <c r="D137" s="7" t="s">
        <v>25</v>
      </c>
      <c r="E137" s="8">
        <v>1720.76</v>
      </c>
      <c r="F137" s="7">
        <v>3</v>
      </c>
      <c r="G137" s="9">
        <v>0</v>
      </c>
      <c r="H137" s="10">
        <v>45640</v>
      </c>
      <c r="I137" s="8">
        <v>835.62</v>
      </c>
      <c r="J137" s="8">
        <f>SUMIF(Table1[Customer_ID],Table1[[#This Row],[Customer_ID]],Table1[Sales])</f>
        <v>11216.81</v>
      </c>
      <c r="K137" s="11">
        <f t="shared" ca="1" si="4"/>
        <v>46120.473312499998</v>
      </c>
    </row>
    <row r="138" spans="1:11" ht="15.75" customHeight="1" x14ac:dyDescent="0.35">
      <c r="A138" s="2" t="s">
        <v>35</v>
      </c>
      <c r="B138" s="2" t="s">
        <v>179</v>
      </c>
      <c r="C138" s="2" t="s">
        <v>47</v>
      </c>
      <c r="D138" s="2" t="s">
        <v>14</v>
      </c>
      <c r="E138" s="3">
        <v>490.87</v>
      </c>
      <c r="F138" s="2">
        <v>2</v>
      </c>
      <c r="G138" s="4">
        <v>0.1</v>
      </c>
      <c r="H138" s="5">
        <v>45644</v>
      </c>
      <c r="I138" s="3">
        <v>118.12</v>
      </c>
      <c r="J138" s="3">
        <f>SUMIF(Table1[Customer_ID],Table1[[#This Row],[Customer_ID]],Table1[Sales])</f>
        <v>10564.119999999999</v>
      </c>
      <c r="K138" s="6">
        <f t="shared" ca="1" si="4"/>
        <v>46120.473312499998</v>
      </c>
    </row>
    <row r="139" spans="1:11" ht="15.75" customHeight="1" x14ac:dyDescent="0.35">
      <c r="A139" s="7" t="s">
        <v>80</v>
      </c>
      <c r="B139" s="7" t="s">
        <v>180</v>
      </c>
      <c r="C139" s="7" t="s">
        <v>50</v>
      </c>
      <c r="D139" s="7" t="s">
        <v>25</v>
      </c>
      <c r="E139" s="8">
        <v>516.14</v>
      </c>
      <c r="F139" s="7">
        <v>10</v>
      </c>
      <c r="G139" s="9">
        <v>0</v>
      </c>
      <c r="H139" s="10">
        <v>45651</v>
      </c>
      <c r="I139" s="8">
        <v>242.49</v>
      </c>
      <c r="J139" s="8">
        <f>SUMIF(Table1[Customer_ID],Table1[[#This Row],[Customer_ID]],Table1[Sales])</f>
        <v>6436.7800000000007</v>
      </c>
      <c r="K139" s="11">
        <f t="shared" ca="1" si="4"/>
        <v>46120.473312499998</v>
      </c>
    </row>
    <row r="140" spans="1:11" ht="15.75" customHeight="1" x14ac:dyDescent="0.35">
      <c r="A140" s="2" t="s">
        <v>141</v>
      </c>
      <c r="B140" s="2" t="s">
        <v>181</v>
      </c>
      <c r="C140" s="2" t="s">
        <v>13</v>
      </c>
      <c r="D140" s="2" t="s">
        <v>14</v>
      </c>
      <c r="E140" s="3">
        <v>1846.37</v>
      </c>
      <c r="F140" s="2">
        <v>18</v>
      </c>
      <c r="G140" s="4">
        <v>0.2</v>
      </c>
      <c r="H140" s="5">
        <v>45651</v>
      </c>
      <c r="I140" s="3">
        <v>727.38</v>
      </c>
      <c r="J140" s="3">
        <f>SUMIF(Table1[Customer_ID],Table1[[#This Row],[Customer_ID]],Table1[Sales])</f>
        <v>3195.56</v>
      </c>
      <c r="K140" s="6">
        <f t="shared" ca="1" si="4"/>
        <v>46120.473312499998</v>
      </c>
    </row>
    <row r="141" spans="1:11" ht="15.75" customHeight="1" x14ac:dyDescent="0.35">
      <c r="A141" s="7" t="s">
        <v>27</v>
      </c>
      <c r="B141" s="7" t="s">
        <v>156</v>
      </c>
      <c r="C141" s="7" t="s">
        <v>50</v>
      </c>
      <c r="D141" s="7" t="s">
        <v>51</v>
      </c>
      <c r="E141" s="8">
        <v>922.72</v>
      </c>
      <c r="F141" s="7">
        <v>12</v>
      </c>
      <c r="G141" s="9">
        <v>0.15</v>
      </c>
      <c r="H141" s="10">
        <v>45656</v>
      </c>
      <c r="I141" s="8">
        <v>330.35</v>
      </c>
      <c r="J141" s="8">
        <f>SUMIF(Table1[Customer_ID],Table1[[#This Row],[Customer_ID]],Table1[Sales])</f>
        <v>7755.0599999999995</v>
      </c>
      <c r="K141" s="11">
        <f t="shared" ca="1" si="4"/>
        <v>46120.473312499998</v>
      </c>
    </row>
    <row r="142" spans="1:11" ht="15.75" customHeight="1" x14ac:dyDescent="0.35">
      <c r="A142" s="2" t="s">
        <v>33</v>
      </c>
      <c r="B142" s="2" t="s">
        <v>182</v>
      </c>
      <c r="C142" s="2" t="s">
        <v>32</v>
      </c>
      <c r="D142" s="2" t="s">
        <v>41</v>
      </c>
      <c r="E142" s="3">
        <v>1027.6500000000001</v>
      </c>
      <c r="F142" s="2">
        <v>2</v>
      </c>
      <c r="G142" s="4">
        <v>0.05</v>
      </c>
      <c r="H142" s="5">
        <v>45657</v>
      </c>
      <c r="I142" s="3">
        <v>335.65</v>
      </c>
      <c r="J142" s="3">
        <f>SUMIF(Table1[Customer_ID],Table1[[#This Row],[Customer_ID]],Table1[Sales])</f>
        <v>11063.92</v>
      </c>
      <c r="K142" s="6">
        <f t="shared" ca="1" si="4"/>
        <v>46120.473312499998</v>
      </c>
    </row>
    <row r="143" spans="1:11" ht="15.75" customHeight="1" x14ac:dyDescent="0.35">
      <c r="A143" s="7" t="s">
        <v>17</v>
      </c>
      <c r="B143" s="7" t="s">
        <v>183</v>
      </c>
      <c r="C143" s="7" t="s">
        <v>24</v>
      </c>
      <c r="D143" s="7" t="s">
        <v>25</v>
      </c>
      <c r="E143" s="8">
        <v>682.37</v>
      </c>
      <c r="F143" s="7">
        <v>14</v>
      </c>
      <c r="G143" s="9">
        <v>0</v>
      </c>
      <c r="H143" s="10">
        <v>45658</v>
      </c>
      <c r="I143" s="8">
        <v>357.53</v>
      </c>
      <c r="J143" s="8">
        <f>SUMIF(Table1[Customer_ID],Table1[[#This Row],[Customer_ID]],Table1[Sales])</f>
        <v>5612.99</v>
      </c>
      <c r="K143" s="11">
        <f t="shared" ca="1" si="4"/>
        <v>46120.473312499998</v>
      </c>
    </row>
    <row r="144" spans="1:11" ht="15.75" customHeight="1" x14ac:dyDescent="0.35">
      <c r="A144" s="2" t="s">
        <v>42</v>
      </c>
      <c r="B144" s="2" t="s">
        <v>184</v>
      </c>
      <c r="C144" s="2" t="s">
        <v>47</v>
      </c>
      <c r="D144" s="2" t="s">
        <v>14</v>
      </c>
      <c r="E144" s="3">
        <v>663.37</v>
      </c>
      <c r="F144" s="2">
        <v>19</v>
      </c>
      <c r="G144" s="4">
        <v>0.15</v>
      </c>
      <c r="H144" s="5">
        <v>45660</v>
      </c>
      <c r="I144" s="3">
        <v>150.93</v>
      </c>
      <c r="J144" s="3">
        <f>SUMIF(Table1[Customer_ID],Table1[[#This Row],[Customer_ID]],Table1[Sales])</f>
        <v>10167.539999999999</v>
      </c>
      <c r="K144" s="6">
        <f t="shared" ca="1" si="4"/>
        <v>46120.473312499998</v>
      </c>
    </row>
    <row r="145" spans="1:11" ht="15.75" customHeight="1" x14ac:dyDescent="0.35">
      <c r="A145" s="7" t="s">
        <v>33</v>
      </c>
      <c r="B145" s="7" t="s">
        <v>185</v>
      </c>
      <c r="C145" s="7" t="s">
        <v>50</v>
      </c>
      <c r="D145" s="7" t="s">
        <v>19</v>
      </c>
      <c r="E145" s="8">
        <v>1835.45</v>
      </c>
      <c r="F145" s="7">
        <v>6</v>
      </c>
      <c r="G145" s="9">
        <v>0.1</v>
      </c>
      <c r="H145" s="10">
        <v>45662</v>
      </c>
      <c r="I145" s="8">
        <v>927.55</v>
      </c>
      <c r="J145" s="8">
        <f>SUMIF(Table1[Customer_ID],Table1[[#This Row],[Customer_ID]],Table1[Sales])</f>
        <v>11063.92</v>
      </c>
      <c r="K145" s="11">
        <f t="shared" ca="1" si="4"/>
        <v>46120.473312499998</v>
      </c>
    </row>
    <row r="146" spans="1:11" ht="15.75" customHeight="1" x14ac:dyDescent="0.35">
      <c r="A146" s="2" t="s">
        <v>141</v>
      </c>
      <c r="B146" s="2" t="s">
        <v>186</v>
      </c>
      <c r="C146" s="2" t="s">
        <v>47</v>
      </c>
      <c r="D146" s="2" t="s">
        <v>14</v>
      </c>
      <c r="E146" s="3">
        <v>494.36</v>
      </c>
      <c r="F146" s="2">
        <v>1</v>
      </c>
      <c r="G146" s="4">
        <v>0</v>
      </c>
      <c r="H146" s="5">
        <v>45663</v>
      </c>
      <c r="I146" s="3">
        <v>136.1</v>
      </c>
      <c r="J146" s="3">
        <f>SUMIF(Table1[Customer_ID],Table1[[#This Row],[Customer_ID]],Table1[Sales])</f>
        <v>3195.56</v>
      </c>
      <c r="K146" s="6">
        <f t="shared" ca="1" si="4"/>
        <v>46120.473312499998</v>
      </c>
    </row>
    <row r="147" spans="1:11" ht="15.75" customHeight="1" x14ac:dyDescent="0.35">
      <c r="A147" s="7" t="s">
        <v>63</v>
      </c>
      <c r="B147" s="7" t="s">
        <v>170</v>
      </c>
      <c r="C147" s="7" t="s">
        <v>47</v>
      </c>
      <c r="D147" s="7" t="s">
        <v>14</v>
      </c>
      <c r="E147" s="8">
        <v>442.69</v>
      </c>
      <c r="F147" s="7">
        <v>16</v>
      </c>
      <c r="G147" s="9">
        <v>0.2</v>
      </c>
      <c r="H147" s="10">
        <v>45666</v>
      </c>
      <c r="I147" s="8">
        <v>91.08</v>
      </c>
      <c r="J147" s="8">
        <f>SUMIF(Table1[Customer_ID],Table1[[#This Row],[Customer_ID]],Table1[Sales])</f>
        <v>7264.36</v>
      </c>
      <c r="K147" s="11">
        <f t="shared" ca="1" si="4"/>
        <v>46120.473312499998</v>
      </c>
    </row>
    <row r="148" spans="1:11" ht="15.75" customHeight="1" x14ac:dyDescent="0.35">
      <c r="A148" s="2" t="s">
        <v>29</v>
      </c>
      <c r="B148" s="2" t="s">
        <v>187</v>
      </c>
      <c r="C148" s="2" t="s">
        <v>47</v>
      </c>
      <c r="D148" s="2" t="s">
        <v>51</v>
      </c>
      <c r="E148" s="3">
        <v>1648.96</v>
      </c>
      <c r="F148" s="2">
        <v>16</v>
      </c>
      <c r="G148" s="4">
        <v>0</v>
      </c>
      <c r="H148" s="5">
        <v>45668</v>
      </c>
      <c r="I148" s="3">
        <v>359.85</v>
      </c>
      <c r="J148" s="3">
        <f>SUMIF(Table1[Customer_ID],Table1[[#This Row],[Customer_ID]],Table1[Sales])</f>
        <v>11216.81</v>
      </c>
      <c r="K148" s="6">
        <f t="shared" ca="1" si="4"/>
        <v>46120.473312499998</v>
      </c>
    </row>
    <row r="149" spans="1:11" ht="15.75" customHeight="1" x14ac:dyDescent="0.35">
      <c r="A149" s="7" t="s">
        <v>44</v>
      </c>
      <c r="B149" s="7" t="s">
        <v>188</v>
      </c>
      <c r="C149" s="7" t="s">
        <v>50</v>
      </c>
      <c r="D149" s="7" t="s">
        <v>41</v>
      </c>
      <c r="E149" s="8">
        <v>262.72000000000003</v>
      </c>
      <c r="F149" s="7">
        <v>5</v>
      </c>
      <c r="G149" s="9">
        <v>0.05</v>
      </c>
      <c r="H149" s="10">
        <v>45668</v>
      </c>
      <c r="I149" s="8">
        <v>75.59</v>
      </c>
      <c r="J149" s="8">
        <f>SUMIF(Table1[Customer_ID],Table1[[#This Row],[Customer_ID]],Table1[Sales])</f>
        <v>9958.1600000000017</v>
      </c>
      <c r="K149" s="11">
        <f t="shared" ca="1" si="4"/>
        <v>46120.473312499998</v>
      </c>
    </row>
    <row r="150" spans="1:11" ht="15.75" customHeight="1" x14ac:dyDescent="0.35">
      <c r="A150" s="2" t="s">
        <v>35</v>
      </c>
      <c r="B150" s="2" t="s">
        <v>28</v>
      </c>
      <c r="C150" s="2" t="s">
        <v>50</v>
      </c>
      <c r="D150" s="2" t="s">
        <v>14</v>
      </c>
      <c r="E150" s="3">
        <v>468.24</v>
      </c>
      <c r="F150" s="2">
        <v>20</v>
      </c>
      <c r="G150" s="4">
        <v>0.2</v>
      </c>
      <c r="H150" s="5">
        <v>45672</v>
      </c>
      <c r="I150" s="3">
        <v>210.36</v>
      </c>
      <c r="J150" s="3">
        <f>SUMIF(Table1[Customer_ID],Table1[[#This Row],[Customer_ID]],Table1[Sales])</f>
        <v>10564.119999999999</v>
      </c>
      <c r="K150" s="6">
        <f t="shared" ca="1" si="4"/>
        <v>46120.473312499998</v>
      </c>
    </row>
    <row r="151" spans="1:11" ht="15.75" customHeight="1" x14ac:dyDescent="0.35">
      <c r="A151" s="7" t="s">
        <v>63</v>
      </c>
      <c r="B151" s="7" t="s">
        <v>189</v>
      </c>
      <c r="C151" s="7" t="s">
        <v>13</v>
      </c>
      <c r="D151" s="7" t="s">
        <v>19</v>
      </c>
      <c r="E151" s="8">
        <v>1180.0899999999999</v>
      </c>
      <c r="F151" s="7">
        <v>12</v>
      </c>
      <c r="G151" s="9">
        <v>0.15</v>
      </c>
      <c r="H151" s="10">
        <v>45673</v>
      </c>
      <c r="I151" s="8">
        <v>372.65</v>
      </c>
      <c r="J151" s="8">
        <f>SUMIF(Table1[Customer_ID],Table1[[#This Row],[Customer_ID]],Table1[Sales])</f>
        <v>7264.36</v>
      </c>
      <c r="K151" s="11">
        <f t="shared" ca="1" si="4"/>
        <v>46120.473312499998</v>
      </c>
    </row>
    <row r="152" spans="1:11" ht="15.75" customHeight="1" x14ac:dyDescent="0.35">
      <c r="A152" s="2" t="s">
        <v>65</v>
      </c>
      <c r="B152" s="2" t="s">
        <v>79</v>
      </c>
      <c r="C152" s="2" t="s">
        <v>24</v>
      </c>
      <c r="D152" s="2" t="s">
        <v>14</v>
      </c>
      <c r="E152" s="3">
        <v>1879.21</v>
      </c>
      <c r="F152" s="2">
        <v>13</v>
      </c>
      <c r="G152" s="4">
        <v>0</v>
      </c>
      <c r="H152" s="5">
        <v>45674</v>
      </c>
      <c r="I152" s="3">
        <v>568.66999999999996</v>
      </c>
      <c r="J152" s="3">
        <f>SUMIF(Table1[Customer_ID],Table1[[#This Row],[Customer_ID]],Table1[Sales])</f>
        <v>7997.8099999999995</v>
      </c>
      <c r="K152" s="6">
        <f t="shared" ca="1" si="4"/>
        <v>46120.473312499998</v>
      </c>
    </row>
    <row r="153" spans="1:11" ht="15.75" customHeight="1" x14ac:dyDescent="0.35">
      <c r="A153" s="7" t="s">
        <v>35</v>
      </c>
      <c r="B153" s="7" t="s">
        <v>190</v>
      </c>
      <c r="C153" s="7" t="s">
        <v>32</v>
      </c>
      <c r="D153" s="7" t="s">
        <v>19</v>
      </c>
      <c r="E153" s="8">
        <v>418.88</v>
      </c>
      <c r="F153" s="7">
        <v>12</v>
      </c>
      <c r="G153" s="9">
        <v>0.05</v>
      </c>
      <c r="H153" s="10">
        <v>45676</v>
      </c>
      <c r="I153" s="8">
        <v>92.57</v>
      </c>
      <c r="J153" s="8">
        <f>SUMIF(Table1[Customer_ID],Table1[[#This Row],[Customer_ID]],Table1[Sales])</f>
        <v>10564.119999999999</v>
      </c>
      <c r="K153" s="11">
        <f t="shared" ca="1" si="4"/>
        <v>46120.473312499998</v>
      </c>
    </row>
    <row r="154" spans="1:11" ht="15.75" customHeight="1" x14ac:dyDescent="0.35">
      <c r="A154" s="2" t="s">
        <v>80</v>
      </c>
      <c r="B154" s="2" t="s">
        <v>139</v>
      </c>
      <c r="C154" s="2" t="s">
        <v>32</v>
      </c>
      <c r="D154" s="2" t="s">
        <v>25</v>
      </c>
      <c r="E154" s="3">
        <v>1514.42</v>
      </c>
      <c r="F154" s="2">
        <v>8</v>
      </c>
      <c r="G154" s="4">
        <v>0.15</v>
      </c>
      <c r="H154" s="5">
        <v>45677</v>
      </c>
      <c r="I154" s="3">
        <v>496.76</v>
      </c>
      <c r="J154" s="3">
        <f>SUMIF(Table1[Customer_ID],Table1[[#This Row],[Customer_ID]],Table1[Sales])</f>
        <v>6436.7800000000007</v>
      </c>
      <c r="K154" s="6">
        <f t="shared" ca="1" si="4"/>
        <v>46120.473312499998</v>
      </c>
    </row>
    <row r="155" spans="1:11" ht="15.75" customHeight="1" x14ac:dyDescent="0.35">
      <c r="A155" s="7" t="s">
        <v>99</v>
      </c>
      <c r="B155" s="7" t="s">
        <v>191</v>
      </c>
      <c r="C155" s="7" t="s">
        <v>47</v>
      </c>
      <c r="D155" s="7" t="s">
        <v>14</v>
      </c>
      <c r="E155" s="8">
        <v>1694.28</v>
      </c>
      <c r="F155" s="7">
        <v>19</v>
      </c>
      <c r="G155" s="9">
        <v>0.15</v>
      </c>
      <c r="H155" s="10">
        <v>45685</v>
      </c>
      <c r="I155" s="8">
        <v>578.67999999999995</v>
      </c>
      <c r="J155" s="8">
        <f>SUMIF(Table1[Customer_ID],Table1[[#This Row],[Customer_ID]],Table1[Sales])</f>
        <v>4603.9400000000005</v>
      </c>
      <c r="K155" s="11">
        <f t="shared" ca="1" si="4"/>
        <v>46120.473312499998</v>
      </c>
    </row>
    <row r="156" spans="1:11" ht="15.75" customHeight="1" x14ac:dyDescent="0.35">
      <c r="A156" s="2" t="s">
        <v>88</v>
      </c>
      <c r="B156" s="2" t="s">
        <v>192</v>
      </c>
      <c r="C156" s="2" t="s">
        <v>32</v>
      </c>
      <c r="D156" s="2" t="s">
        <v>41</v>
      </c>
      <c r="E156" s="3">
        <v>1247.74</v>
      </c>
      <c r="F156" s="2">
        <v>13</v>
      </c>
      <c r="G156" s="4">
        <v>0.15</v>
      </c>
      <c r="H156" s="5">
        <v>45689</v>
      </c>
      <c r="I156" s="3">
        <v>491.62</v>
      </c>
      <c r="J156" s="3">
        <f>SUMIF(Table1[Customer_ID],Table1[[#This Row],[Customer_ID]],Table1[Sales])</f>
        <v>4541.2299999999996</v>
      </c>
      <c r="K156" s="6">
        <f t="shared" ca="1" si="4"/>
        <v>46120.473312499998</v>
      </c>
    </row>
    <row r="157" spans="1:11" ht="15.75" customHeight="1" x14ac:dyDescent="0.35">
      <c r="A157" s="7" t="s">
        <v>39</v>
      </c>
      <c r="B157" s="7" t="s">
        <v>193</v>
      </c>
      <c r="C157" s="7" t="s">
        <v>24</v>
      </c>
      <c r="D157" s="7" t="s">
        <v>41</v>
      </c>
      <c r="E157" s="8">
        <v>413.65</v>
      </c>
      <c r="F157" s="7">
        <v>6</v>
      </c>
      <c r="G157" s="9">
        <v>0.2</v>
      </c>
      <c r="H157" s="10">
        <v>45689</v>
      </c>
      <c r="I157" s="8">
        <v>105.05</v>
      </c>
      <c r="J157" s="8">
        <f>SUMIF(Table1[Customer_ID],Table1[[#This Row],[Customer_ID]],Table1[Sales])</f>
        <v>8104.79</v>
      </c>
      <c r="K157" s="11">
        <f t="shared" ca="1" si="4"/>
        <v>46120.473312499998</v>
      </c>
    </row>
    <row r="158" spans="1:11" ht="15.75" customHeight="1" x14ac:dyDescent="0.35">
      <c r="A158" s="2" t="s">
        <v>92</v>
      </c>
      <c r="B158" s="2" t="s">
        <v>194</v>
      </c>
      <c r="C158" s="2" t="s">
        <v>24</v>
      </c>
      <c r="D158" s="2" t="s">
        <v>14</v>
      </c>
      <c r="E158" s="3">
        <v>1504.13</v>
      </c>
      <c r="F158" s="2">
        <v>2</v>
      </c>
      <c r="G158" s="4">
        <v>0</v>
      </c>
      <c r="H158" s="5">
        <v>45691</v>
      </c>
      <c r="I158" s="3">
        <v>551.83000000000004</v>
      </c>
      <c r="J158" s="3">
        <f>SUMIF(Table1[Customer_ID],Table1[[#This Row],[Customer_ID]],Table1[Sales])</f>
        <v>4609.08</v>
      </c>
      <c r="K158" s="6">
        <f t="shared" ca="1" si="4"/>
        <v>46120.473312499998</v>
      </c>
    </row>
    <row r="159" spans="1:11" ht="15.75" customHeight="1" x14ac:dyDescent="0.35">
      <c r="A159" s="7" t="s">
        <v>65</v>
      </c>
      <c r="B159" s="7" t="s">
        <v>195</v>
      </c>
      <c r="C159" s="7" t="s">
        <v>13</v>
      </c>
      <c r="D159" s="7" t="s">
        <v>41</v>
      </c>
      <c r="E159" s="8">
        <v>463.9</v>
      </c>
      <c r="F159" s="7">
        <v>12</v>
      </c>
      <c r="G159" s="9">
        <v>0.1</v>
      </c>
      <c r="H159" s="10">
        <v>45691</v>
      </c>
      <c r="I159" s="8">
        <v>154.65</v>
      </c>
      <c r="J159" s="8">
        <f>SUMIF(Table1[Customer_ID],Table1[[#This Row],[Customer_ID]],Table1[Sales])</f>
        <v>7997.8099999999995</v>
      </c>
      <c r="K159" s="11">
        <f t="shared" ca="1" si="4"/>
        <v>46120.473312499998</v>
      </c>
    </row>
    <row r="160" spans="1:11" ht="15.75" customHeight="1" x14ac:dyDescent="0.35">
      <c r="A160" s="2" t="s">
        <v>63</v>
      </c>
      <c r="B160" s="2" t="s">
        <v>185</v>
      </c>
      <c r="C160" s="2" t="s">
        <v>47</v>
      </c>
      <c r="D160" s="2" t="s">
        <v>19</v>
      </c>
      <c r="E160" s="3">
        <v>876.11</v>
      </c>
      <c r="F160" s="2">
        <v>18</v>
      </c>
      <c r="G160" s="4">
        <v>0.15</v>
      </c>
      <c r="H160" s="5">
        <v>45692</v>
      </c>
      <c r="I160" s="3">
        <v>402.83</v>
      </c>
      <c r="J160" s="3">
        <f>SUMIF(Table1[Customer_ID],Table1[[#This Row],[Customer_ID]],Table1[Sales])</f>
        <v>7264.36</v>
      </c>
      <c r="K160" s="6">
        <f t="shared" ca="1" si="4"/>
        <v>46120.473312499998</v>
      </c>
    </row>
    <row r="161" spans="1:11" ht="15.75" customHeight="1" x14ac:dyDescent="0.35">
      <c r="A161" s="7" t="s">
        <v>80</v>
      </c>
      <c r="B161" s="7" t="s">
        <v>196</v>
      </c>
      <c r="C161" s="7" t="s">
        <v>24</v>
      </c>
      <c r="D161" s="7" t="s">
        <v>25</v>
      </c>
      <c r="E161" s="8">
        <v>372.3</v>
      </c>
      <c r="F161" s="7">
        <v>18</v>
      </c>
      <c r="G161" s="9">
        <v>0.05</v>
      </c>
      <c r="H161" s="10">
        <v>45692</v>
      </c>
      <c r="I161" s="8">
        <v>102.6</v>
      </c>
      <c r="J161" s="8">
        <f>SUMIF(Table1[Customer_ID],Table1[[#This Row],[Customer_ID]],Table1[Sales])</f>
        <v>6436.7800000000007</v>
      </c>
      <c r="K161" s="11">
        <f t="shared" ca="1" si="4"/>
        <v>46120.473312499998</v>
      </c>
    </row>
    <row r="162" spans="1:11" ht="15.75" customHeight="1" x14ac:dyDescent="0.35">
      <c r="A162" s="2" t="s">
        <v>147</v>
      </c>
      <c r="B162" s="2" t="s">
        <v>197</v>
      </c>
      <c r="C162" s="2" t="s">
        <v>24</v>
      </c>
      <c r="D162" s="2" t="s">
        <v>41</v>
      </c>
      <c r="E162" s="3">
        <v>1548.55</v>
      </c>
      <c r="F162" s="2">
        <v>15</v>
      </c>
      <c r="G162" s="4">
        <v>0.15</v>
      </c>
      <c r="H162" s="5">
        <v>45695</v>
      </c>
      <c r="I162" s="3">
        <v>455.18</v>
      </c>
      <c r="J162" s="3">
        <f>SUMIF(Table1[Customer_ID],Table1[[#This Row],[Customer_ID]],Table1[Sales])</f>
        <v>6213.91</v>
      </c>
      <c r="K162" s="6">
        <f t="shared" ref="K162:K193" ca="1" si="5">NOW()</f>
        <v>46120.473312499998</v>
      </c>
    </row>
    <row r="163" spans="1:11" ht="15.75" customHeight="1" x14ac:dyDescent="0.35">
      <c r="A163" s="7" t="s">
        <v>111</v>
      </c>
      <c r="B163" s="7" t="s">
        <v>198</v>
      </c>
      <c r="C163" s="7" t="s">
        <v>32</v>
      </c>
      <c r="D163" s="7" t="s">
        <v>41</v>
      </c>
      <c r="E163" s="8">
        <v>391.47</v>
      </c>
      <c r="F163" s="7">
        <v>6</v>
      </c>
      <c r="G163" s="9">
        <v>0</v>
      </c>
      <c r="H163" s="10">
        <v>45696</v>
      </c>
      <c r="I163" s="8">
        <v>87.61</v>
      </c>
      <c r="J163" s="8">
        <f>SUMIF(Table1[Customer_ID],Table1[[#This Row],[Customer_ID]],Table1[Sales])</f>
        <v>5223.2100000000009</v>
      </c>
      <c r="K163" s="11">
        <f t="shared" ca="1" si="5"/>
        <v>46120.473312499998</v>
      </c>
    </row>
    <row r="164" spans="1:11" ht="15.75" customHeight="1" x14ac:dyDescent="0.35">
      <c r="A164" s="2" t="s">
        <v>33</v>
      </c>
      <c r="B164" s="2" t="s">
        <v>199</v>
      </c>
      <c r="C164" s="2" t="s">
        <v>50</v>
      </c>
      <c r="D164" s="2" t="s">
        <v>19</v>
      </c>
      <c r="E164" s="3">
        <v>718.65</v>
      </c>
      <c r="F164" s="2">
        <v>19</v>
      </c>
      <c r="G164" s="4">
        <v>0.2</v>
      </c>
      <c r="H164" s="5">
        <v>45697</v>
      </c>
      <c r="I164" s="3">
        <v>214.91</v>
      </c>
      <c r="J164" s="3">
        <f>SUMIF(Table1[Customer_ID],Table1[[#This Row],[Customer_ID]],Table1[Sales])</f>
        <v>11063.92</v>
      </c>
      <c r="K164" s="6">
        <f t="shared" ca="1" si="5"/>
        <v>46120.473312499998</v>
      </c>
    </row>
    <row r="165" spans="1:11" ht="15.75" customHeight="1" x14ac:dyDescent="0.35">
      <c r="A165" s="7" t="s">
        <v>27</v>
      </c>
      <c r="B165" s="7" t="s">
        <v>200</v>
      </c>
      <c r="C165" s="7" t="s">
        <v>50</v>
      </c>
      <c r="D165" s="7" t="s">
        <v>51</v>
      </c>
      <c r="E165" s="8">
        <v>777.19</v>
      </c>
      <c r="F165" s="7">
        <v>11</v>
      </c>
      <c r="G165" s="9">
        <v>0.2</v>
      </c>
      <c r="H165" s="10">
        <v>45697</v>
      </c>
      <c r="I165" s="8">
        <v>178.55</v>
      </c>
      <c r="J165" s="8">
        <f>SUMIF(Table1[Customer_ID],Table1[[#This Row],[Customer_ID]],Table1[Sales])</f>
        <v>7755.0599999999995</v>
      </c>
      <c r="K165" s="11">
        <f t="shared" ca="1" si="5"/>
        <v>46120.473312499998</v>
      </c>
    </row>
    <row r="166" spans="1:11" ht="15.75" customHeight="1" x14ac:dyDescent="0.35">
      <c r="A166" s="2" t="s">
        <v>42</v>
      </c>
      <c r="B166" s="2" t="s">
        <v>60</v>
      </c>
      <c r="C166" s="2" t="s">
        <v>13</v>
      </c>
      <c r="D166" s="2" t="s">
        <v>41</v>
      </c>
      <c r="E166" s="3">
        <v>1157.6099999999999</v>
      </c>
      <c r="F166" s="2">
        <v>15</v>
      </c>
      <c r="G166" s="4">
        <v>0</v>
      </c>
      <c r="H166" s="5">
        <v>45698</v>
      </c>
      <c r="I166" s="3">
        <v>247.67</v>
      </c>
      <c r="J166" s="3">
        <f>SUMIF(Table1[Customer_ID],Table1[[#This Row],[Customer_ID]],Table1[Sales])</f>
        <v>10167.539999999999</v>
      </c>
      <c r="K166" s="6">
        <f t="shared" ca="1" si="5"/>
        <v>46120.473312499998</v>
      </c>
    </row>
    <row r="167" spans="1:11" ht="15.75" customHeight="1" x14ac:dyDescent="0.35">
      <c r="A167" s="7" t="s">
        <v>120</v>
      </c>
      <c r="B167" s="7" t="s">
        <v>115</v>
      </c>
      <c r="C167" s="7" t="s">
        <v>24</v>
      </c>
      <c r="D167" s="7" t="s">
        <v>19</v>
      </c>
      <c r="E167" s="8">
        <v>1645.51</v>
      </c>
      <c r="F167" s="7">
        <v>10</v>
      </c>
      <c r="G167" s="9">
        <v>0.05</v>
      </c>
      <c r="H167" s="10">
        <v>45702</v>
      </c>
      <c r="I167" s="8">
        <v>790.96</v>
      </c>
      <c r="J167" s="8">
        <f>SUMIF(Table1[Customer_ID],Table1[[#This Row],[Customer_ID]],Table1[Sales])</f>
        <v>4462.17</v>
      </c>
      <c r="K167" s="11">
        <f t="shared" ca="1" si="5"/>
        <v>46120.473312499998</v>
      </c>
    </row>
    <row r="168" spans="1:11" ht="15.75" customHeight="1" x14ac:dyDescent="0.35">
      <c r="A168" s="2" t="s">
        <v>29</v>
      </c>
      <c r="B168" s="2" t="s">
        <v>201</v>
      </c>
      <c r="C168" s="2" t="s">
        <v>50</v>
      </c>
      <c r="D168" s="2" t="s">
        <v>41</v>
      </c>
      <c r="E168" s="3">
        <v>1778.44</v>
      </c>
      <c r="F168" s="2">
        <v>10</v>
      </c>
      <c r="G168" s="4">
        <v>0.2</v>
      </c>
      <c r="H168" s="5">
        <v>45703</v>
      </c>
      <c r="I168" s="3">
        <v>479.5</v>
      </c>
      <c r="J168" s="3">
        <f>SUMIF(Table1[Customer_ID],Table1[[#This Row],[Customer_ID]],Table1[Sales])</f>
        <v>11216.81</v>
      </c>
      <c r="K168" s="6">
        <f t="shared" ca="1" si="5"/>
        <v>46120.473312499998</v>
      </c>
    </row>
    <row r="169" spans="1:11" ht="15.75" customHeight="1" x14ac:dyDescent="0.35">
      <c r="A169" s="7" t="s">
        <v>44</v>
      </c>
      <c r="B169" s="7" t="s">
        <v>202</v>
      </c>
      <c r="C169" s="7" t="s">
        <v>13</v>
      </c>
      <c r="D169" s="7" t="s">
        <v>19</v>
      </c>
      <c r="E169" s="8">
        <v>664.28</v>
      </c>
      <c r="F169" s="7">
        <v>15</v>
      </c>
      <c r="G169" s="9">
        <v>0.2</v>
      </c>
      <c r="H169" s="10">
        <v>45704</v>
      </c>
      <c r="I169" s="8">
        <v>288.20999999999998</v>
      </c>
      <c r="J169" s="8">
        <f>SUMIF(Table1[Customer_ID],Table1[[#This Row],[Customer_ID]],Table1[Sales])</f>
        <v>9958.1600000000017</v>
      </c>
      <c r="K169" s="11">
        <f t="shared" ca="1" si="5"/>
        <v>46120.473312499998</v>
      </c>
    </row>
    <row r="170" spans="1:11" ht="15.75" customHeight="1" x14ac:dyDescent="0.35">
      <c r="A170" s="2" t="s">
        <v>45</v>
      </c>
      <c r="B170" s="2" t="s">
        <v>203</v>
      </c>
      <c r="C170" s="2" t="s">
        <v>50</v>
      </c>
      <c r="D170" s="2" t="s">
        <v>19</v>
      </c>
      <c r="E170" s="3">
        <v>299.69</v>
      </c>
      <c r="F170" s="2">
        <v>18</v>
      </c>
      <c r="G170" s="4">
        <v>0.1</v>
      </c>
      <c r="H170" s="5">
        <v>45704</v>
      </c>
      <c r="I170" s="3">
        <v>83.16</v>
      </c>
      <c r="J170" s="3">
        <f>SUMIF(Table1[Customer_ID],Table1[[#This Row],[Customer_ID]],Table1[Sales])</f>
        <v>8044.2</v>
      </c>
      <c r="K170" s="6">
        <f t="shared" ca="1" si="5"/>
        <v>46120.473312499998</v>
      </c>
    </row>
    <row r="171" spans="1:11" ht="15.75" customHeight="1" x14ac:dyDescent="0.35">
      <c r="A171" s="7" t="s">
        <v>42</v>
      </c>
      <c r="B171" s="7" t="s">
        <v>204</v>
      </c>
      <c r="C171" s="7" t="s">
        <v>47</v>
      </c>
      <c r="D171" s="7" t="s">
        <v>14</v>
      </c>
      <c r="E171" s="8">
        <v>942.49</v>
      </c>
      <c r="F171" s="7">
        <v>8</v>
      </c>
      <c r="G171" s="9">
        <v>0.15</v>
      </c>
      <c r="H171" s="10">
        <v>45704</v>
      </c>
      <c r="I171" s="8">
        <v>282.49</v>
      </c>
      <c r="J171" s="8">
        <f>SUMIF(Table1[Customer_ID],Table1[[#This Row],[Customer_ID]],Table1[Sales])</f>
        <v>10167.539999999999</v>
      </c>
      <c r="K171" s="11">
        <f t="shared" ca="1" si="5"/>
        <v>46120.473312499998</v>
      </c>
    </row>
    <row r="172" spans="1:11" ht="15.75" customHeight="1" x14ac:dyDescent="0.35">
      <c r="A172" s="2" t="s">
        <v>120</v>
      </c>
      <c r="B172" s="2" t="s">
        <v>205</v>
      </c>
      <c r="C172" s="2" t="s">
        <v>24</v>
      </c>
      <c r="D172" s="2" t="s">
        <v>51</v>
      </c>
      <c r="E172" s="3">
        <v>1036.7</v>
      </c>
      <c r="F172" s="2">
        <v>18</v>
      </c>
      <c r="G172" s="4">
        <v>0.05</v>
      </c>
      <c r="H172" s="5">
        <v>45705</v>
      </c>
      <c r="I172" s="3">
        <v>528.17999999999995</v>
      </c>
      <c r="J172" s="3">
        <f>SUMIF(Table1[Customer_ID],Table1[[#This Row],[Customer_ID]],Table1[Sales])</f>
        <v>4462.17</v>
      </c>
      <c r="K172" s="6">
        <f t="shared" ca="1" si="5"/>
        <v>46120.473312499998</v>
      </c>
    </row>
    <row r="173" spans="1:11" ht="15.75" customHeight="1" x14ac:dyDescent="0.35">
      <c r="A173" s="7" t="s">
        <v>45</v>
      </c>
      <c r="B173" s="7" t="s">
        <v>206</v>
      </c>
      <c r="C173" s="7" t="s">
        <v>32</v>
      </c>
      <c r="D173" s="7" t="s">
        <v>19</v>
      </c>
      <c r="E173" s="8">
        <v>292.75</v>
      </c>
      <c r="F173" s="7">
        <v>11</v>
      </c>
      <c r="G173" s="9">
        <v>0.05</v>
      </c>
      <c r="H173" s="10">
        <v>45708</v>
      </c>
      <c r="I173" s="8">
        <v>105.69</v>
      </c>
      <c r="J173" s="8">
        <f>SUMIF(Table1[Customer_ID],Table1[[#This Row],[Customer_ID]],Table1[Sales])</f>
        <v>8044.2</v>
      </c>
      <c r="K173" s="11">
        <f t="shared" ca="1" si="5"/>
        <v>46120.473312499998</v>
      </c>
    </row>
    <row r="174" spans="1:11" ht="15.75" customHeight="1" x14ac:dyDescent="0.35">
      <c r="A174" s="2" t="s">
        <v>44</v>
      </c>
      <c r="B174" s="2" t="s">
        <v>207</v>
      </c>
      <c r="C174" s="2" t="s">
        <v>32</v>
      </c>
      <c r="D174" s="2" t="s">
        <v>41</v>
      </c>
      <c r="E174" s="3">
        <v>668.19</v>
      </c>
      <c r="F174" s="2">
        <v>20</v>
      </c>
      <c r="G174" s="4">
        <v>0</v>
      </c>
      <c r="H174" s="5">
        <v>45709</v>
      </c>
      <c r="I174" s="3">
        <v>152.81</v>
      </c>
      <c r="J174" s="3">
        <f>SUMIF(Table1[Customer_ID],Table1[[#This Row],[Customer_ID]],Table1[Sales])</f>
        <v>9958.1600000000017</v>
      </c>
      <c r="K174" s="6">
        <f t="shared" ca="1" si="5"/>
        <v>46120.473312499998</v>
      </c>
    </row>
    <row r="175" spans="1:11" ht="15.75" customHeight="1" x14ac:dyDescent="0.35">
      <c r="A175" s="7" t="s">
        <v>37</v>
      </c>
      <c r="B175" s="7" t="s">
        <v>106</v>
      </c>
      <c r="C175" s="7" t="s">
        <v>32</v>
      </c>
      <c r="D175" s="7" t="s">
        <v>14</v>
      </c>
      <c r="E175" s="8">
        <v>1840.05</v>
      </c>
      <c r="F175" s="7">
        <v>7</v>
      </c>
      <c r="G175" s="9">
        <v>0</v>
      </c>
      <c r="H175" s="10">
        <v>45710</v>
      </c>
      <c r="I175" s="8">
        <v>466.15</v>
      </c>
      <c r="J175" s="8">
        <f>SUMIF(Table1[Customer_ID],Table1[[#This Row],[Customer_ID]],Table1[Sales])</f>
        <v>10890.76</v>
      </c>
      <c r="K175" s="11">
        <f t="shared" ca="1" si="5"/>
        <v>46120.473312499998</v>
      </c>
    </row>
    <row r="176" spans="1:11" ht="15.75" customHeight="1" x14ac:dyDescent="0.35">
      <c r="A176" s="2" t="s">
        <v>128</v>
      </c>
      <c r="B176" s="2" t="s">
        <v>203</v>
      </c>
      <c r="C176" s="2" t="s">
        <v>13</v>
      </c>
      <c r="D176" s="2" t="s">
        <v>41</v>
      </c>
      <c r="E176" s="3">
        <v>634.78</v>
      </c>
      <c r="F176" s="2">
        <v>14</v>
      </c>
      <c r="G176" s="4">
        <v>0.2</v>
      </c>
      <c r="H176" s="5">
        <v>45710</v>
      </c>
      <c r="I176" s="3">
        <v>263.27999999999997</v>
      </c>
      <c r="J176" s="3">
        <f>SUMIF(Table1[Customer_ID],Table1[[#This Row],[Customer_ID]],Table1[Sales])</f>
        <v>5212.66</v>
      </c>
      <c r="K176" s="6">
        <f t="shared" ca="1" si="5"/>
        <v>46120.473312499998</v>
      </c>
    </row>
    <row r="177" spans="1:11" ht="15.75" customHeight="1" x14ac:dyDescent="0.35">
      <c r="A177" s="7" t="s">
        <v>22</v>
      </c>
      <c r="B177" s="7" t="s">
        <v>208</v>
      </c>
      <c r="C177" s="7" t="s">
        <v>50</v>
      </c>
      <c r="D177" s="7" t="s">
        <v>51</v>
      </c>
      <c r="E177" s="8">
        <v>1533.85</v>
      </c>
      <c r="F177" s="7">
        <v>17</v>
      </c>
      <c r="G177" s="9">
        <v>0.15</v>
      </c>
      <c r="H177" s="10">
        <v>45712</v>
      </c>
      <c r="I177" s="8">
        <v>435.21</v>
      </c>
      <c r="J177" s="8">
        <f>SUMIF(Table1[Customer_ID],Table1[[#This Row],[Customer_ID]],Table1[Sales])</f>
        <v>4192.32</v>
      </c>
      <c r="K177" s="11">
        <f t="shared" ca="1" si="5"/>
        <v>46120.473312499998</v>
      </c>
    </row>
    <row r="178" spans="1:11" ht="15.75" customHeight="1" x14ac:dyDescent="0.35">
      <c r="A178" s="2" t="s">
        <v>102</v>
      </c>
      <c r="B178" s="2" t="s">
        <v>209</v>
      </c>
      <c r="C178" s="2" t="s">
        <v>13</v>
      </c>
      <c r="D178" s="2" t="s">
        <v>25</v>
      </c>
      <c r="E178" s="3">
        <v>990.64</v>
      </c>
      <c r="F178" s="2">
        <v>16</v>
      </c>
      <c r="G178" s="4">
        <v>0.15</v>
      </c>
      <c r="H178" s="5">
        <v>45715</v>
      </c>
      <c r="I178" s="3">
        <v>303.12</v>
      </c>
      <c r="J178" s="3">
        <f>SUMIF(Table1[Customer_ID],Table1[[#This Row],[Customer_ID]],Table1[Sales])</f>
        <v>4080.45</v>
      </c>
      <c r="K178" s="6">
        <f t="shared" ca="1" si="5"/>
        <v>46120.473312499998</v>
      </c>
    </row>
    <row r="179" spans="1:11" ht="15.75" customHeight="1" x14ac:dyDescent="0.35">
      <c r="A179" s="7" t="s">
        <v>42</v>
      </c>
      <c r="B179" s="7" t="s">
        <v>210</v>
      </c>
      <c r="C179" s="7" t="s">
        <v>13</v>
      </c>
      <c r="D179" s="7" t="s">
        <v>41</v>
      </c>
      <c r="E179" s="8">
        <v>1071.8900000000001</v>
      </c>
      <c r="F179" s="7">
        <v>2</v>
      </c>
      <c r="G179" s="9">
        <v>0</v>
      </c>
      <c r="H179" s="10">
        <v>45716</v>
      </c>
      <c r="I179" s="8">
        <v>373.29</v>
      </c>
      <c r="J179" s="8">
        <f>SUMIF(Table1[Customer_ID],Table1[[#This Row],[Customer_ID]],Table1[Sales])</f>
        <v>10167.539999999999</v>
      </c>
      <c r="K179" s="11">
        <f t="shared" ca="1" si="5"/>
        <v>46120.473312499998</v>
      </c>
    </row>
    <row r="180" spans="1:11" ht="15.75" customHeight="1" x14ac:dyDescent="0.35">
      <c r="A180" s="2" t="s">
        <v>44</v>
      </c>
      <c r="B180" s="2" t="s">
        <v>211</v>
      </c>
      <c r="C180" s="2" t="s">
        <v>50</v>
      </c>
      <c r="D180" s="2" t="s">
        <v>51</v>
      </c>
      <c r="E180" s="3">
        <v>1556.01</v>
      </c>
      <c r="F180" s="2">
        <v>3</v>
      </c>
      <c r="G180" s="4">
        <v>0.2</v>
      </c>
      <c r="H180" s="5">
        <v>45716</v>
      </c>
      <c r="I180" s="3">
        <v>373.3</v>
      </c>
      <c r="J180" s="3">
        <f>SUMIF(Table1[Customer_ID],Table1[[#This Row],[Customer_ID]],Table1[Sales])</f>
        <v>9958.1600000000017</v>
      </c>
      <c r="K180" s="6">
        <f t="shared" ca="1" si="5"/>
        <v>46120.473312499998</v>
      </c>
    </row>
    <row r="181" spans="1:11" ht="15.75" customHeight="1" x14ac:dyDescent="0.35">
      <c r="A181" s="7" t="s">
        <v>42</v>
      </c>
      <c r="B181" s="7" t="s">
        <v>212</v>
      </c>
      <c r="C181" s="7" t="s">
        <v>24</v>
      </c>
      <c r="D181" s="7" t="s">
        <v>51</v>
      </c>
      <c r="E181" s="8">
        <v>1667.33</v>
      </c>
      <c r="F181" s="7">
        <v>9</v>
      </c>
      <c r="G181" s="9">
        <v>0.05</v>
      </c>
      <c r="H181" s="10">
        <v>45717</v>
      </c>
      <c r="I181" s="8">
        <v>891.56</v>
      </c>
      <c r="J181" s="8">
        <f>SUMIF(Table1[Customer_ID],Table1[[#This Row],[Customer_ID]],Table1[Sales])</f>
        <v>10167.539999999999</v>
      </c>
      <c r="K181" s="11">
        <f t="shared" ca="1" si="5"/>
        <v>46120.473312499998</v>
      </c>
    </row>
    <row r="182" spans="1:11" ht="15.75" customHeight="1" x14ac:dyDescent="0.35">
      <c r="A182" s="2" t="s">
        <v>58</v>
      </c>
      <c r="B182" s="2" t="s">
        <v>213</v>
      </c>
      <c r="C182" s="2" t="s">
        <v>47</v>
      </c>
      <c r="D182" s="2" t="s">
        <v>41</v>
      </c>
      <c r="E182" s="3">
        <v>1198.28</v>
      </c>
      <c r="F182" s="2">
        <v>1</v>
      </c>
      <c r="G182" s="4">
        <v>0</v>
      </c>
      <c r="H182" s="5">
        <v>45721</v>
      </c>
      <c r="I182" s="3">
        <v>419.42</v>
      </c>
      <c r="J182" s="3">
        <f>SUMIF(Table1[Customer_ID],Table1[[#This Row],[Customer_ID]],Table1[Sales])</f>
        <v>5289.4699999999993</v>
      </c>
      <c r="K182" s="6">
        <f t="shared" ca="1" si="5"/>
        <v>46120.473312499998</v>
      </c>
    </row>
    <row r="183" spans="1:11" ht="15.75" customHeight="1" x14ac:dyDescent="0.35">
      <c r="A183" s="7" t="s">
        <v>147</v>
      </c>
      <c r="B183" s="7" t="s">
        <v>69</v>
      </c>
      <c r="C183" s="7" t="s">
        <v>13</v>
      </c>
      <c r="D183" s="7" t="s">
        <v>25</v>
      </c>
      <c r="E183" s="8">
        <v>331.86</v>
      </c>
      <c r="F183" s="7">
        <v>18</v>
      </c>
      <c r="G183" s="9">
        <v>0.1</v>
      </c>
      <c r="H183" s="10">
        <v>45721</v>
      </c>
      <c r="I183" s="8">
        <v>86.71</v>
      </c>
      <c r="J183" s="8">
        <f>SUMIF(Table1[Customer_ID],Table1[[#This Row],[Customer_ID]],Table1[Sales])</f>
        <v>6213.91</v>
      </c>
      <c r="K183" s="11">
        <f t="shared" ca="1" si="5"/>
        <v>46120.473312499998</v>
      </c>
    </row>
    <row r="184" spans="1:11" ht="15.75" customHeight="1" x14ac:dyDescent="0.35">
      <c r="A184" s="2" t="s">
        <v>26</v>
      </c>
      <c r="B184" s="2" t="s">
        <v>149</v>
      </c>
      <c r="C184" s="2" t="s">
        <v>13</v>
      </c>
      <c r="D184" s="2" t="s">
        <v>14</v>
      </c>
      <c r="E184" s="3">
        <v>1892.23</v>
      </c>
      <c r="F184" s="2">
        <v>12</v>
      </c>
      <c r="G184" s="4">
        <v>0.2</v>
      </c>
      <c r="H184" s="5">
        <v>45722</v>
      </c>
      <c r="I184" s="3">
        <v>615.99</v>
      </c>
      <c r="J184" s="3">
        <f>SUMIF(Table1[Customer_ID],Table1[[#This Row],[Customer_ID]],Table1[Sales])</f>
        <v>11576.38</v>
      </c>
      <c r="K184" s="6">
        <f t="shared" ca="1" si="5"/>
        <v>46120.473312499998</v>
      </c>
    </row>
    <row r="185" spans="1:11" ht="15.75" customHeight="1" x14ac:dyDescent="0.35">
      <c r="A185" s="7" t="s">
        <v>30</v>
      </c>
      <c r="B185" s="7" t="s">
        <v>214</v>
      </c>
      <c r="C185" s="7" t="s">
        <v>24</v>
      </c>
      <c r="D185" s="7" t="s">
        <v>51</v>
      </c>
      <c r="E185" s="8">
        <v>1911.82</v>
      </c>
      <c r="F185" s="7">
        <v>10</v>
      </c>
      <c r="G185" s="9">
        <v>0</v>
      </c>
      <c r="H185" s="10">
        <v>45729</v>
      </c>
      <c r="I185" s="8">
        <v>647.21</v>
      </c>
      <c r="J185" s="8">
        <f>SUMIF(Table1[Customer_ID],Table1[[#This Row],[Customer_ID]],Table1[Sales])</f>
        <v>9513.89</v>
      </c>
      <c r="K185" s="11">
        <f t="shared" ca="1" si="5"/>
        <v>46120.473312499998</v>
      </c>
    </row>
    <row r="186" spans="1:11" ht="15.75" customHeight="1" x14ac:dyDescent="0.35">
      <c r="A186" s="2" t="s">
        <v>17</v>
      </c>
      <c r="B186" s="2" t="s">
        <v>215</v>
      </c>
      <c r="C186" s="2" t="s">
        <v>47</v>
      </c>
      <c r="D186" s="2" t="s">
        <v>41</v>
      </c>
      <c r="E186" s="3">
        <v>627.1</v>
      </c>
      <c r="F186" s="2">
        <v>20</v>
      </c>
      <c r="G186" s="4">
        <v>0</v>
      </c>
      <c r="H186" s="5">
        <v>45729</v>
      </c>
      <c r="I186" s="3">
        <v>239.87</v>
      </c>
      <c r="J186" s="3">
        <f>SUMIF(Table1[Customer_ID],Table1[[#This Row],[Customer_ID]],Table1[Sales])</f>
        <v>5612.99</v>
      </c>
      <c r="K186" s="6">
        <f t="shared" ca="1" si="5"/>
        <v>46120.473312499998</v>
      </c>
    </row>
    <row r="187" spans="1:11" ht="15.75" customHeight="1" x14ac:dyDescent="0.35">
      <c r="A187" s="7" t="s">
        <v>99</v>
      </c>
      <c r="B187" s="7" t="s">
        <v>216</v>
      </c>
      <c r="C187" s="7" t="s">
        <v>24</v>
      </c>
      <c r="D187" s="7" t="s">
        <v>14</v>
      </c>
      <c r="E187" s="8">
        <v>1380.83</v>
      </c>
      <c r="F187" s="7">
        <v>9</v>
      </c>
      <c r="G187" s="9">
        <v>0.15</v>
      </c>
      <c r="H187" s="10">
        <v>45730</v>
      </c>
      <c r="I187" s="8">
        <v>481.09</v>
      </c>
      <c r="J187" s="8">
        <f>SUMIF(Table1[Customer_ID],Table1[[#This Row],[Customer_ID]],Table1[Sales])</f>
        <v>4603.9400000000005</v>
      </c>
      <c r="K187" s="11">
        <f t="shared" ca="1" si="5"/>
        <v>46120.473312499998</v>
      </c>
    </row>
    <row r="188" spans="1:11" ht="15.75" customHeight="1" x14ac:dyDescent="0.35">
      <c r="A188" s="2" t="s">
        <v>88</v>
      </c>
      <c r="B188" s="2" t="s">
        <v>217</v>
      </c>
      <c r="C188" s="2" t="s">
        <v>24</v>
      </c>
      <c r="D188" s="2" t="s">
        <v>41</v>
      </c>
      <c r="E188" s="3">
        <v>271.02999999999997</v>
      </c>
      <c r="F188" s="2">
        <v>18</v>
      </c>
      <c r="G188" s="4">
        <v>0.1</v>
      </c>
      <c r="H188" s="5">
        <v>45731</v>
      </c>
      <c r="I188" s="3">
        <v>64.03</v>
      </c>
      <c r="J188" s="3">
        <f>SUMIF(Table1[Customer_ID],Table1[[#This Row],[Customer_ID]],Table1[Sales])</f>
        <v>4541.2299999999996</v>
      </c>
      <c r="K188" s="6">
        <f t="shared" ca="1" si="5"/>
        <v>46120.473312499998</v>
      </c>
    </row>
    <row r="189" spans="1:11" ht="15.75" customHeight="1" x14ac:dyDescent="0.35">
      <c r="A189" s="7" t="s">
        <v>33</v>
      </c>
      <c r="B189" s="7" t="s">
        <v>218</v>
      </c>
      <c r="C189" s="7" t="s">
        <v>13</v>
      </c>
      <c r="D189" s="7" t="s">
        <v>19</v>
      </c>
      <c r="E189" s="8">
        <v>1432.91</v>
      </c>
      <c r="F189" s="7">
        <v>13</v>
      </c>
      <c r="G189" s="9">
        <v>0.15</v>
      </c>
      <c r="H189" s="10">
        <v>45731</v>
      </c>
      <c r="I189" s="8">
        <v>683.98</v>
      </c>
      <c r="J189" s="8">
        <f>SUMIF(Table1[Customer_ID],Table1[[#This Row],[Customer_ID]],Table1[Sales])</f>
        <v>11063.92</v>
      </c>
      <c r="K189" s="11">
        <f t="shared" ca="1" si="5"/>
        <v>46120.473312499998</v>
      </c>
    </row>
    <row r="190" spans="1:11" ht="15.75" customHeight="1" x14ac:dyDescent="0.35">
      <c r="A190" s="2" t="s">
        <v>65</v>
      </c>
      <c r="B190" s="2" t="s">
        <v>219</v>
      </c>
      <c r="C190" s="2" t="s">
        <v>32</v>
      </c>
      <c r="D190" s="2" t="s">
        <v>25</v>
      </c>
      <c r="E190" s="3">
        <v>1485.12</v>
      </c>
      <c r="F190" s="2">
        <v>11</v>
      </c>
      <c r="G190" s="4">
        <v>0.15</v>
      </c>
      <c r="H190" s="5">
        <v>45734</v>
      </c>
      <c r="I190" s="3">
        <v>746.16</v>
      </c>
      <c r="J190" s="3">
        <f>SUMIF(Table1[Customer_ID],Table1[[#This Row],[Customer_ID]],Table1[Sales])</f>
        <v>7997.8099999999995</v>
      </c>
      <c r="K190" s="6">
        <f t="shared" ca="1" si="5"/>
        <v>46120.473312499998</v>
      </c>
    </row>
    <row r="191" spans="1:11" ht="15.75" customHeight="1" x14ac:dyDescent="0.35">
      <c r="A191" s="7" t="s">
        <v>26</v>
      </c>
      <c r="B191" s="7" t="s">
        <v>220</v>
      </c>
      <c r="C191" s="7" t="s">
        <v>24</v>
      </c>
      <c r="D191" s="7" t="s">
        <v>19</v>
      </c>
      <c r="E191" s="8">
        <v>715.41</v>
      </c>
      <c r="F191" s="7">
        <v>2</v>
      </c>
      <c r="G191" s="9">
        <v>0</v>
      </c>
      <c r="H191" s="10">
        <v>45735</v>
      </c>
      <c r="I191" s="8">
        <v>302.70999999999998</v>
      </c>
      <c r="J191" s="8">
        <f>SUMIF(Table1[Customer_ID],Table1[[#This Row],[Customer_ID]],Table1[Sales])</f>
        <v>11576.38</v>
      </c>
      <c r="K191" s="11">
        <f t="shared" ca="1" si="5"/>
        <v>46120.473312499998</v>
      </c>
    </row>
    <row r="192" spans="1:11" ht="15.75" customHeight="1" x14ac:dyDescent="0.35">
      <c r="A192" s="2" t="s">
        <v>147</v>
      </c>
      <c r="B192" s="2" t="s">
        <v>221</v>
      </c>
      <c r="C192" s="2" t="s">
        <v>13</v>
      </c>
      <c r="D192" s="2" t="s">
        <v>14</v>
      </c>
      <c r="E192" s="3">
        <v>1222.0899999999999</v>
      </c>
      <c r="F192" s="2">
        <v>10</v>
      </c>
      <c r="G192" s="4">
        <v>0.2</v>
      </c>
      <c r="H192" s="5">
        <v>45738</v>
      </c>
      <c r="I192" s="3">
        <v>632.80999999999995</v>
      </c>
      <c r="J192" s="3">
        <f>SUMIF(Table1[Customer_ID],Table1[[#This Row],[Customer_ID]],Table1[Sales])</f>
        <v>6213.91</v>
      </c>
      <c r="K192" s="6">
        <f t="shared" ca="1" si="5"/>
        <v>46120.473312499998</v>
      </c>
    </row>
    <row r="193" spans="1:11" ht="15.75" customHeight="1" x14ac:dyDescent="0.35">
      <c r="A193" s="7" t="s">
        <v>52</v>
      </c>
      <c r="B193" s="7" t="s">
        <v>222</v>
      </c>
      <c r="C193" s="7" t="s">
        <v>32</v>
      </c>
      <c r="D193" s="7" t="s">
        <v>14</v>
      </c>
      <c r="E193" s="8">
        <v>1692.6</v>
      </c>
      <c r="F193" s="7">
        <v>5</v>
      </c>
      <c r="G193" s="9">
        <v>0.05</v>
      </c>
      <c r="H193" s="10">
        <v>45740</v>
      </c>
      <c r="I193" s="8">
        <v>588.61</v>
      </c>
      <c r="J193" s="8">
        <f>SUMIF(Table1[Customer_ID],Table1[[#This Row],[Customer_ID]],Table1[Sales])</f>
        <v>8197.9599999999991</v>
      </c>
      <c r="K193" s="11">
        <f t="shared" ca="1" si="5"/>
        <v>46120.473312499998</v>
      </c>
    </row>
    <row r="194" spans="1:11" ht="15.75" customHeight="1" x14ac:dyDescent="0.35">
      <c r="A194" s="2" t="s">
        <v>35</v>
      </c>
      <c r="B194" s="2" t="s">
        <v>223</v>
      </c>
      <c r="C194" s="2" t="s">
        <v>24</v>
      </c>
      <c r="D194" s="2" t="s">
        <v>19</v>
      </c>
      <c r="E194" s="3">
        <v>1139.5</v>
      </c>
      <c r="F194" s="2">
        <v>18</v>
      </c>
      <c r="G194" s="4">
        <v>0</v>
      </c>
      <c r="H194" s="5">
        <v>45740</v>
      </c>
      <c r="I194" s="3">
        <v>515.34</v>
      </c>
      <c r="J194" s="3">
        <f>SUMIF(Table1[Customer_ID],Table1[[#This Row],[Customer_ID]],Table1[Sales])</f>
        <v>10564.119999999999</v>
      </c>
      <c r="K194" s="6">
        <f t="shared" ref="K194:K201" ca="1" si="6">NOW()</f>
        <v>46120.473312499998</v>
      </c>
    </row>
    <row r="195" spans="1:11" ht="15.75" customHeight="1" x14ac:dyDescent="0.35">
      <c r="A195" s="7" t="s">
        <v>52</v>
      </c>
      <c r="B195" s="7" t="s">
        <v>224</v>
      </c>
      <c r="C195" s="7" t="s">
        <v>47</v>
      </c>
      <c r="D195" s="7" t="s">
        <v>19</v>
      </c>
      <c r="E195" s="8">
        <v>1514.91</v>
      </c>
      <c r="F195" s="7">
        <v>19</v>
      </c>
      <c r="G195" s="9">
        <v>0.15</v>
      </c>
      <c r="H195" s="10">
        <v>45740</v>
      </c>
      <c r="I195" s="8">
        <v>792.99</v>
      </c>
      <c r="J195" s="8">
        <f>SUMIF(Table1[Customer_ID],Table1[[#This Row],[Customer_ID]],Table1[Sales])</f>
        <v>8197.9599999999991</v>
      </c>
      <c r="K195" s="11">
        <f t="shared" ca="1" si="6"/>
        <v>46120.473312499998</v>
      </c>
    </row>
    <row r="196" spans="1:11" ht="15.75" customHeight="1" x14ac:dyDescent="0.35">
      <c r="A196" s="2" t="s">
        <v>147</v>
      </c>
      <c r="B196" s="2" t="s">
        <v>164</v>
      </c>
      <c r="C196" s="2" t="s">
        <v>47</v>
      </c>
      <c r="D196" s="2" t="s">
        <v>51</v>
      </c>
      <c r="E196" s="3">
        <v>1366.07</v>
      </c>
      <c r="F196" s="2">
        <v>12</v>
      </c>
      <c r="G196" s="4">
        <v>0.05</v>
      </c>
      <c r="H196" s="5">
        <v>45743</v>
      </c>
      <c r="I196" s="3">
        <v>714.52</v>
      </c>
      <c r="J196" s="3">
        <f>SUMIF(Table1[Customer_ID],Table1[[#This Row],[Customer_ID]],Table1[Sales])</f>
        <v>6213.91</v>
      </c>
      <c r="K196" s="6">
        <f t="shared" ca="1" si="6"/>
        <v>46120.473312499998</v>
      </c>
    </row>
    <row r="197" spans="1:11" ht="15.75" customHeight="1" x14ac:dyDescent="0.35">
      <c r="A197" s="7" t="s">
        <v>52</v>
      </c>
      <c r="B197" s="7" t="s">
        <v>225</v>
      </c>
      <c r="C197" s="7" t="s">
        <v>47</v>
      </c>
      <c r="D197" s="7" t="s">
        <v>41</v>
      </c>
      <c r="E197" s="8">
        <v>937.92</v>
      </c>
      <c r="F197" s="7">
        <v>9</v>
      </c>
      <c r="G197" s="9">
        <v>0</v>
      </c>
      <c r="H197" s="10">
        <v>45745</v>
      </c>
      <c r="I197" s="8">
        <v>309.22000000000003</v>
      </c>
      <c r="J197" s="8">
        <f>SUMIF(Table1[Customer_ID],Table1[[#This Row],[Customer_ID]],Table1[Sales])</f>
        <v>8197.9599999999991</v>
      </c>
      <c r="K197" s="11">
        <f t="shared" ca="1" si="6"/>
        <v>46120.473312499998</v>
      </c>
    </row>
    <row r="198" spans="1:11" ht="15.75" customHeight="1" x14ac:dyDescent="0.35">
      <c r="A198" s="2" t="s">
        <v>35</v>
      </c>
      <c r="B198" s="2" t="s">
        <v>226</v>
      </c>
      <c r="C198" s="2" t="s">
        <v>13</v>
      </c>
      <c r="D198" s="2" t="s">
        <v>19</v>
      </c>
      <c r="E198" s="3">
        <v>1261.97</v>
      </c>
      <c r="F198" s="2">
        <v>14</v>
      </c>
      <c r="G198" s="4">
        <v>0.05</v>
      </c>
      <c r="H198" s="5">
        <v>45745</v>
      </c>
      <c r="I198" s="3">
        <v>448.46</v>
      </c>
      <c r="J198" s="3">
        <f>SUMIF(Table1[Customer_ID],Table1[[#This Row],[Customer_ID]],Table1[Sales])</f>
        <v>10564.119999999999</v>
      </c>
      <c r="K198" s="6">
        <f t="shared" ca="1" si="6"/>
        <v>46120.473312499998</v>
      </c>
    </row>
    <row r="199" spans="1:11" ht="15.75" customHeight="1" x14ac:dyDescent="0.35">
      <c r="A199" s="7" t="s">
        <v>30</v>
      </c>
      <c r="B199" s="7" t="s">
        <v>227</v>
      </c>
      <c r="C199" s="7" t="s">
        <v>32</v>
      </c>
      <c r="D199" s="7" t="s">
        <v>41</v>
      </c>
      <c r="E199" s="8">
        <v>1408.56</v>
      </c>
      <c r="F199" s="7">
        <v>8</v>
      </c>
      <c r="G199" s="9">
        <v>0</v>
      </c>
      <c r="H199" s="10">
        <v>45748</v>
      </c>
      <c r="I199" s="8">
        <v>662.54</v>
      </c>
      <c r="J199" s="8">
        <f>SUMIF(Table1[Customer_ID],Table1[[#This Row],[Customer_ID]],Table1[Sales])</f>
        <v>9513.89</v>
      </c>
      <c r="K199" s="11">
        <f t="shared" ca="1" si="6"/>
        <v>46120.473312499998</v>
      </c>
    </row>
    <row r="200" spans="1:11" ht="15.75" customHeight="1" x14ac:dyDescent="0.35">
      <c r="A200" s="2" t="s">
        <v>42</v>
      </c>
      <c r="B200" s="2" t="s">
        <v>228</v>
      </c>
      <c r="C200" s="2" t="s">
        <v>50</v>
      </c>
      <c r="D200" s="2" t="s">
        <v>19</v>
      </c>
      <c r="E200" s="3">
        <v>1239.72</v>
      </c>
      <c r="F200" s="2">
        <v>1</v>
      </c>
      <c r="G200" s="4">
        <v>0.05</v>
      </c>
      <c r="H200" s="5">
        <v>45749</v>
      </c>
      <c r="I200" s="3">
        <v>431.32</v>
      </c>
      <c r="J200" s="3">
        <f>SUMIF(Table1[Customer_ID],Table1[[#This Row],[Customer_ID]],Table1[Sales])</f>
        <v>10167.539999999999</v>
      </c>
      <c r="K200" s="6">
        <f t="shared" ca="1" si="6"/>
        <v>46120.473312499998</v>
      </c>
    </row>
    <row r="201" spans="1:11" ht="15.75" customHeight="1" x14ac:dyDescent="0.35">
      <c r="A201" s="7" t="s">
        <v>30</v>
      </c>
      <c r="B201" s="7" t="s">
        <v>229</v>
      </c>
      <c r="C201" s="7" t="s">
        <v>13</v>
      </c>
      <c r="D201" s="7" t="s">
        <v>19</v>
      </c>
      <c r="E201" s="8">
        <v>1100.25</v>
      </c>
      <c r="F201" s="7">
        <v>14</v>
      </c>
      <c r="G201" s="9">
        <v>0</v>
      </c>
      <c r="H201" s="10">
        <v>45751</v>
      </c>
      <c r="I201" s="8">
        <v>264.11</v>
      </c>
      <c r="J201" s="8">
        <f>SUMIF(Table1[Customer_ID],Table1[[#This Row],[Customer_ID]],Table1[Sales])</f>
        <v>9513.89</v>
      </c>
      <c r="K201" s="11">
        <f t="shared" ca="1" si="6"/>
        <v>46120.473312499998</v>
      </c>
    </row>
  </sheetData>
  <mergeCells count="3">
    <mergeCell ref="N2:O2"/>
    <mergeCell ref="Q2:R2"/>
    <mergeCell ref="Q3:R3"/>
  </mergeCells>
  <conditionalFormatting sqref="J2:J201">
    <cfRule type="expression" dxfId="2" priority="2">
      <formula>J2&gt;=LARGE($J$2:$J$201,10)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zoomScale="80" zoomScaleNormal="80" workbookViewId="0">
      <selection activeCell="C2" sqref="C2"/>
    </sheetView>
  </sheetViews>
  <sheetFormatPr defaultColWidth="8.6328125" defaultRowHeight="14.5" x14ac:dyDescent="0.35"/>
  <cols>
    <col min="2" max="2" width="30.1796875" customWidth="1"/>
    <col min="3" max="9" width="22" customWidth="1"/>
  </cols>
  <sheetData>
    <row r="1" spans="2:9" x14ac:dyDescent="0.35">
      <c r="B1" s="78"/>
      <c r="C1" s="78"/>
      <c r="D1" s="78"/>
      <c r="E1" s="78"/>
      <c r="F1" s="78"/>
      <c r="G1" s="78"/>
      <c r="H1" s="78"/>
      <c r="I1" s="78"/>
    </row>
    <row r="2" spans="2:9" ht="18.5" customHeight="1" x14ac:dyDescent="0.35">
      <c r="B2" s="84" t="s">
        <v>230</v>
      </c>
      <c r="C2" s="78"/>
      <c r="D2" s="78"/>
      <c r="E2" s="78"/>
      <c r="F2" s="78"/>
      <c r="G2" s="78"/>
      <c r="H2" s="78"/>
      <c r="I2" s="78"/>
    </row>
    <row r="3" spans="2:9" ht="14.5" customHeight="1" x14ac:dyDescent="0.35">
      <c r="B3" s="84"/>
      <c r="C3" s="78"/>
      <c r="D3" s="68" t="s">
        <v>231</v>
      </c>
      <c r="E3" s="58" t="s">
        <v>232</v>
      </c>
      <c r="F3" s="58" t="s">
        <v>233</v>
      </c>
      <c r="G3" s="58" t="s">
        <v>234</v>
      </c>
      <c r="H3" s="58" t="s">
        <v>235</v>
      </c>
      <c r="I3" s="58" t="s">
        <v>236</v>
      </c>
    </row>
    <row r="4" spans="2:9" ht="14.5" customHeight="1" x14ac:dyDescent="0.35">
      <c r="B4" s="78"/>
      <c r="C4" s="78"/>
      <c r="D4" s="78"/>
      <c r="E4" s="79"/>
      <c r="F4" s="79"/>
      <c r="G4" s="79"/>
      <c r="H4" s="79"/>
      <c r="I4" s="79"/>
    </row>
    <row r="5" spans="2:9" x14ac:dyDescent="0.35">
      <c r="B5" s="77" t="s">
        <v>237</v>
      </c>
      <c r="C5" s="78"/>
      <c r="D5" s="78"/>
      <c r="E5" s="78"/>
      <c r="F5" s="78"/>
      <c r="G5" s="78"/>
      <c r="H5" s="78"/>
      <c r="I5" s="78"/>
    </row>
    <row r="6" spans="2:9" x14ac:dyDescent="0.35">
      <c r="B6" s="78"/>
      <c r="C6" s="80" t="s">
        <v>238</v>
      </c>
      <c r="D6" s="81">
        <v>0.1</v>
      </c>
      <c r="E6" s="81">
        <v>0</v>
      </c>
      <c r="F6" s="81">
        <v>0.05</v>
      </c>
      <c r="G6" s="81">
        <v>0.1</v>
      </c>
      <c r="H6" s="81">
        <v>0.15</v>
      </c>
      <c r="I6" s="81">
        <v>0.2</v>
      </c>
    </row>
    <row r="7" spans="2:9" x14ac:dyDescent="0.35">
      <c r="B7" s="77" t="s">
        <v>239</v>
      </c>
      <c r="C7" s="78"/>
      <c r="D7" s="78"/>
      <c r="E7" s="78"/>
      <c r="F7" s="78"/>
      <c r="G7" s="78"/>
      <c r="H7" s="78"/>
      <c r="I7" s="78"/>
    </row>
    <row r="8" spans="2:9" x14ac:dyDescent="0.35">
      <c r="B8" s="78"/>
      <c r="C8" s="80" t="s">
        <v>240</v>
      </c>
      <c r="D8" s="82">
        <v>672.27300000000002</v>
      </c>
      <c r="E8" s="82">
        <v>746.97</v>
      </c>
      <c r="F8" s="82">
        <v>709.62099999999998</v>
      </c>
      <c r="G8" s="82">
        <v>672.27300000000002</v>
      </c>
      <c r="H8" s="82">
        <v>634.92399999999998</v>
      </c>
      <c r="I8" s="82">
        <v>597.57600000000002</v>
      </c>
    </row>
    <row r="9" spans="2:9" x14ac:dyDescent="0.35">
      <c r="B9" s="83"/>
      <c r="C9" s="78"/>
      <c r="D9" s="78"/>
      <c r="E9" s="78"/>
      <c r="F9" s="78"/>
      <c r="G9" s="78"/>
      <c r="H9" s="78"/>
      <c r="I9" s="78"/>
    </row>
    <row r="10" spans="2:9" x14ac:dyDescent="0.35">
      <c r="B10" s="83"/>
      <c r="C10" s="78"/>
      <c r="D10" s="78"/>
      <c r="E10" s="78"/>
      <c r="F10" s="78"/>
      <c r="G10" s="78"/>
      <c r="H10" s="78"/>
      <c r="I10" s="78"/>
    </row>
    <row r="11" spans="2:9" x14ac:dyDescent="0.35">
      <c r="B11" s="12"/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7"/>
  <sheetViews>
    <sheetView zoomScaleNormal="100" workbookViewId="0">
      <selection activeCell="E8" sqref="E8"/>
    </sheetView>
  </sheetViews>
  <sheetFormatPr defaultColWidth="8.6328125" defaultRowHeight="14.5" x14ac:dyDescent="0.35"/>
  <cols>
    <col min="2" max="2" width="22" customWidth="1"/>
    <col min="3" max="3" width="18" customWidth="1"/>
  </cols>
  <sheetData>
    <row r="3" spans="2:3" ht="17" customHeight="1" x14ac:dyDescent="0.35">
      <c r="B3" s="71" t="s">
        <v>242</v>
      </c>
      <c r="C3" s="72"/>
    </row>
    <row r="4" spans="2:3" x14ac:dyDescent="0.35">
      <c r="B4" s="73"/>
      <c r="C4" s="73"/>
    </row>
    <row r="5" spans="2:3" x14ac:dyDescent="0.35">
      <c r="B5" s="47" t="s">
        <v>243</v>
      </c>
      <c r="C5" s="48">
        <f>AVERAGE(Customers_Data!E2:E201)</f>
        <v>1051.1257499999997</v>
      </c>
    </row>
    <row r="6" spans="2:3" x14ac:dyDescent="0.35">
      <c r="B6" s="16" t="s">
        <v>241</v>
      </c>
      <c r="C6" s="49">
        <f>STDEV(Customers_Data!E2:E201)/SQRT(COUNT(Customers_Data!E2:E201))</f>
        <v>33.876383845526341</v>
      </c>
    </row>
    <row r="7" spans="2:3" x14ac:dyDescent="0.35">
      <c r="B7" s="47" t="s">
        <v>244</v>
      </c>
      <c r="C7" s="48">
        <f>MEDIAN(Customers_Data!E2:E201)</f>
        <v>1016.1949999999999</v>
      </c>
    </row>
    <row r="8" spans="2:3" x14ac:dyDescent="0.35">
      <c r="B8" s="16" t="s">
        <v>245</v>
      </c>
      <c r="C8" s="49" t="str">
        <f>IFERROR(MODE(Customers_Data!E2:E201),"N/A")</f>
        <v>N/A</v>
      </c>
    </row>
    <row r="9" spans="2:3" x14ac:dyDescent="0.35">
      <c r="B9" s="47" t="s">
        <v>246</v>
      </c>
      <c r="C9" s="48">
        <f>STDEV(Customers_Data!E2:E201)</f>
        <v>479.08441478500174</v>
      </c>
    </row>
    <row r="10" spans="2:3" x14ac:dyDescent="0.35">
      <c r="B10" s="16" t="s">
        <v>247</v>
      </c>
      <c r="C10" s="49">
        <f>VAR(Customers_Data!E2:E201)</f>
        <v>229521.8764898876</v>
      </c>
    </row>
    <row r="11" spans="2:3" x14ac:dyDescent="0.35">
      <c r="B11" s="47" t="s">
        <v>248</v>
      </c>
      <c r="C11" s="48">
        <f>KURT(Customers_Data!E2:E201)</f>
        <v>-1.1464207930506434</v>
      </c>
    </row>
    <row r="12" spans="2:3" x14ac:dyDescent="0.35">
      <c r="B12" s="16" t="s">
        <v>249</v>
      </c>
      <c r="C12" s="49">
        <f>SKEW(Customers_Data!E2:E201)</f>
        <v>0.11181003423466193</v>
      </c>
    </row>
    <row r="13" spans="2:3" x14ac:dyDescent="0.35">
      <c r="B13" s="47" t="s">
        <v>250</v>
      </c>
      <c r="C13" s="48">
        <f>MAX(Customers_Data!E2:E201)-MIN(Customers_Data!E2:E201)</f>
        <v>1649.1</v>
      </c>
    </row>
    <row r="14" spans="2:3" x14ac:dyDescent="0.35">
      <c r="B14" s="16" t="s">
        <v>251</v>
      </c>
      <c r="C14" s="49">
        <f>MIN(Customers_Data!E2:E201)</f>
        <v>262.72000000000003</v>
      </c>
    </row>
    <row r="15" spans="2:3" x14ac:dyDescent="0.35">
      <c r="B15" s="47" t="s">
        <v>252</v>
      </c>
      <c r="C15" s="48">
        <f>MAX(Customers_Data!E2:E201)</f>
        <v>1911.82</v>
      </c>
    </row>
    <row r="16" spans="2:3" x14ac:dyDescent="0.35">
      <c r="B16" s="16" t="s">
        <v>253</v>
      </c>
      <c r="C16" s="49">
        <f>SUM(Customers_Data!E2:E201)</f>
        <v>210225.14999999994</v>
      </c>
    </row>
    <row r="17" spans="2:3" x14ac:dyDescent="0.35">
      <c r="B17" s="47" t="s">
        <v>254</v>
      </c>
      <c r="C17" s="48">
        <f>COUNT(Customers_Data!E2:E201)</f>
        <v>200</v>
      </c>
    </row>
  </sheetData>
  <mergeCells count="1">
    <mergeCell ref="B3:C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zoomScaleNormal="100" workbookViewId="0">
      <selection activeCell="C11" sqref="C11"/>
    </sheetView>
  </sheetViews>
  <sheetFormatPr defaultColWidth="8.6328125" defaultRowHeight="14.5" x14ac:dyDescent="0.35"/>
  <cols>
    <col min="2" max="3" width="14" customWidth="1"/>
    <col min="4" max="4" width="12" customWidth="1"/>
    <col min="5" max="5" width="10" customWidth="1"/>
  </cols>
  <sheetData>
    <row r="2" spans="2:5" x14ac:dyDescent="0.35">
      <c r="B2" s="1" t="s">
        <v>255</v>
      </c>
      <c r="C2" s="1" t="s">
        <v>256</v>
      </c>
      <c r="D2" s="1" t="s">
        <v>257</v>
      </c>
      <c r="E2" s="1" t="s">
        <v>258</v>
      </c>
    </row>
    <row r="3" spans="2:5" x14ac:dyDescent="0.35">
      <c r="B3" s="14">
        <v>45383</v>
      </c>
      <c r="C3" s="13">
        <f>SUMIFS(Table1[Sales],Table1[Order_Date],"&gt;"&amp;DATE(2024,4,1),Table1[Order_Date],"&lt;="&amp;DATE(2024,4,30))</f>
        <v>7436.71</v>
      </c>
    </row>
    <row r="4" spans="2:5" x14ac:dyDescent="0.35">
      <c r="B4" s="14">
        <v>45413</v>
      </c>
      <c r="C4" s="13">
        <f>SUMIFS(Table1[Sales],Table1[Order_Date],"&gt;"&amp;DATE(2024,5,1),Table1[Order_Date],"&lt;="&amp;DATE(2024,5,30))</f>
        <v>13203.39</v>
      </c>
      <c r="D4" s="15">
        <f t="shared" ref="D4:D15" si="0">(C4-C3)/C3</f>
        <v>0.77543429823134147</v>
      </c>
      <c r="E4" s="16" t="str">
        <f t="shared" ref="E4:E15" si="1">IF(D4&gt;0,"▲ ","▼")</f>
        <v xml:space="preserve">▲ </v>
      </c>
    </row>
    <row r="5" spans="2:5" x14ac:dyDescent="0.35">
      <c r="B5" s="14">
        <v>45444</v>
      </c>
      <c r="C5" s="13">
        <f>SUMIFS(Table1[Sales],Table1[Order_Date],"&gt;"&amp;DATE(2024,6,1),Table1[Order_Date],"&lt;="&amp;DATE(2024,6,30))</f>
        <v>19085.34</v>
      </c>
      <c r="D5" s="15">
        <f t="shared" si="0"/>
        <v>0.44548786334418666</v>
      </c>
      <c r="E5" s="16" t="str">
        <f t="shared" si="1"/>
        <v xml:space="preserve">▲ </v>
      </c>
    </row>
    <row r="6" spans="2:5" x14ac:dyDescent="0.35">
      <c r="B6" s="14">
        <v>45474</v>
      </c>
      <c r="C6" s="13">
        <f>SUMIFS(Table1[Sales],Table1[Order_Date],"&gt;"&amp;DATE(2024,7,1),Table1[Order_Date],"&lt;="&amp;DATE(2024,7,30))</f>
        <v>14901.310000000001</v>
      </c>
      <c r="D6" s="15">
        <f t="shared" si="0"/>
        <v>-0.21922742796303335</v>
      </c>
      <c r="E6" s="16" t="str">
        <f t="shared" si="1"/>
        <v>▼</v>
      </c>
    </row>
    <row r="7" spans="2:5" x14ac:dyDescent="0.35">
      <c r="B7" s="14">
        <v>45505</v>
      </c>
      <c r="C7" s="13">
        <f>SUMIFS(Table1[Sales],Table1[Order_Date],"&gt;"&amp;DATE(2024,8,1),Table1[Order_Date],"&lt;="&amp;DATE(2024,8,30))</f>
        <v>13282.61</v>
      </c>
      <c r="D7" s="15">
        <f t="shared" si="0"/>
        <v>-0.10862803337424701</v>
      </c>
      <c r="E7" s="16" t="str">
        <f t="shared" si="1"/>
        <v>▼</v>
      </c>
    </row>
    <row r="8" spans="2:5" x14ac:dyDescent="0.35">
      <c r="B8" s="14">
        <v>45536</v>
      </c>
      <c r="C8" s="13">
        <f>SUMIFS(Table1[Sales],Table1[Order_Date],"&gt;"&amp;DATE(2024,9,1),Table1[Order_Date],"&lt;="&amp;DATE(2024,9,30))</f>
        <v>20995.870000000003</v>
      </c>
      <c r="D8" s="15">
        <f t="shared" si="0"/>
        <v>0.58070364182942968</v>
      </c>
      <c r="E8" s="16" t="str">
        <f t="shared" si="1"/>
        <v xml:space="preserve">▲ </v>
      </c>
    </row>
    <row r="9" spans="2:5" x14ac:dyDescent="0.35">
      <c r="B9" s="14">
        <v>45566</v>
      </c>
      <c r="C9" s="13">
        <f>SUMIFS(Table1[Sales],Table1[Order_Date],"&gt;"&amp;DATE(2024,10,1),Table1[Order_Date],"&lt;="&amp;DATE(2024,10,31))</f>
        <v>10729.850000000002</v>
      </c>
      <c r="D9" s="15">
        <f t="shared" si="0"/>
        <v>-0.48895425624182276</v>
      </c>
      <c r="E9" s="16" t="str">
        <f t="shared" si="1"/>
        <v>▼</v>
      </c>
    </row>
    <row r="10" spans="2:5" x14ac:dyDescent="0.35">
      <c r="B10" s="14">
        <v>45597</v>
      </c>
      <c r="C10" s="13">
        <f>SUMIFS(Table1[Sales],Table1[Order_Date],"&gt;"&amp;DATE(2024,11,1),Table1[Order_Date],"&lt;="&amp;DATE(2024,11,30))</f>
        <v>19710.86</v>
      </c>
      <c r="D10" s="15">
        <f t="shared" si="0"/>
        <v>0.83701170100234357</v>
      </c>
      <c r="E10" s="16" t="str">
        <f t="shared" si="1"/>
        <v xml:space="preserve">▲ </v>
      </c>
    </row>
    <row r="11" spans="2:5" x14ac:dyDescent="0.35">
      <c r="B11" s="14">
        <v>45627</v>
      </c>
      <c r="C11" s="13">
        <f>SUMIFS(Table1[Sales],Table1[Order_Date],"&gt;"&amp;DATE(2024,12,1),Table1[Order_Date],"&lt;="&amp;DATE(2024,12,31))</f>
        <v>15118.259999999998</v>
      </c>
      <c r="D11" s="15">
        <f t="shared" si="0"/>
        <v>-0.23299845871768163</v>
      </c>
      <c r="E11" s="16" t="str">
        <f t="shared" si="1"/>
        <v>▼</v>
      </c>
    </row>
    <row r="12" spans="2:5" x14ac:dyDescent="0.35">
      <c r="B12" s="14">
        <v>45658</v>
      </c>
      <c r="C12" s="13">
        <f>SUMIFS(Table1[Sales],Table1[Order_Date],"&gt;"&amp;DATE(2025,1,1),Table1[Order_Date],"&lt;="&amp;DATE(2025,1,30))</f>
        <v>12502.67</v>
      </c>
      <c r="D12" s="15">
        <f t="shared" si="0"/>
        <v>-0.1730086663412323</v>
      </c>
      <c r="E12" s="16" t="str">
        <f t="shared" si="1"/>
        <v>▼</v>
      </c>
    </row>
    <row r="13" spans="2:5" x14ac:dyDescent="0.35">
      <c r="B13" s="14">
        <v>45689</v>
      </c>
      <c r="C13" s="13">
        <f>SUMIFS(Table1[Sales],Table1[Order_Date],"&gt;"&amp;DATE(2025,2,1),Table1[Order_Date],"&lt;="&amp;DATE(2025,2,30))</f>
        <v>24432.509999999995</v>
      </c>
      <c r="D13" s="15">
        <f t="shared" si="0"/>
        <v>0.95418338642865841</v>
      </c>
      <c r="E13" s="16" t="str">
        <f t="shared" si="1"/>
        <v xml:space="preserve">▲ </v>
      </c>
    </row>
    <row r="14" spans="2:5" x14ac:dyDescent="0.35">
      <c r="B14" s="14">
        <v>45717</v>
      </c>
      <c r="C14" s="13">
        <f>SUMIFS(Table1[Sales],Table1[Order_Date],"&gt;"&amp;DATE(2025,3,1),Table1[Order_Date],"&lt;="&amp;DATE(2025,3,30))</f>
        <v>20381.650000000001</v>
      </c>
      <c r="D14" s="15">
        <f t="shared" si="0"/>
        <v>-0.16579794707952619</v>
      </c>
      <c r="E14" s="16" t="str">
        <f t="shared" si="1"/>
        <v>▼</v>
      </c>
    </row>
    <row r="15" spans="2:5" x14ac:dyDescent="0.35">
      <c r="B15" s="14">
        <v>45748</v>
      </c>
      <c r="C15" s="13">
        <f>SUMIFS(Table1[Sales],Table1[Order_Date],"&gt;"&amp;DATE(2025,4,1),Table1[Order_Date],"&lt;="&amp;DATE(2025,4,30))</f>
        <v>2339.9700000000003</v>
      </c>
      <c r="D15" s="15">
        <f t="shared" si="0"/>
        <v>-0.8851923175994092</v>
      </c>
      <c r="E15" s="16" t="str">
        <f t="shared" si="1"/>
        <v>▼</v>
      </c>
    </row>
  </sheetData>
  <conditionalFormatting sqref="E4:E15">
    <cfRule type="expression" dxfId="1" priority="2">
      <formula>LEFT(E4,1)="▲"</formula>
    </cfRule>
    <cfRule type="expression" dxfId="0" priority="3">
      <formula>LEFT(E4,1)="▼"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zoomScaleNormal="100" workbookViewId="0">
      <selection activeCell="D2" sqref="D2"/>
    </sheetView>
  </sheetViews>
  <sheetFormatPr defaultColWidth="8.6328125" defaultRowHeight="14.5" x14ac:dyDescent="0.35"/>
  <cols>
    <col min="1" max="1" width="27.26953125" customWidth="1"/>
    <col min="2" max="2" width="22" customWidth="1"/>
    <col min="3" max="3" width="10" customWidth="1"/>
    <col min="4" max="4" width="22.7265625" customWidth="1"/>
    <col min="5" max="5" width="12" customWidth="1"/>
    <col min="6" max="6" width="9" customWidth="1"/>
    <col min="7" max="7" width="10" customWidth="1"/>
    <col min="8" max="8" width="15" customWidth="1"/>
    <col min="9" max="9" width="12" customWidth="1"/>
    <col min="10" max="10" width="15" customWidth="1"/>
    <col min="11" max="11" width="22" customWidth="1"/>
  </cols>
  <sheetData>
    <row r="1" spans="1:11" ht="17" x14ac:dyDescent="0.35">
      <c r="A1" s="74" t="s">
        <v>259</v>
      </c>
      <c r="B1" s="74"/>
      <c r="D1" s="65" t="s">
        <v>260</v>
      </c>
      <c r="E1" s="66">
        <v>10000</v>
      </c>
    </row>
    <row r="2" spans="1:11" x14ac:dyDescent="0.35">
      <c r="A2" s="60" t="s">
        <v>261</v>
      </c>
      <c r="B2" s="61">
        <f>MAX(Table1[Total_Purchase])</f>
        <v>11576.38</v>
      </c>
      <c r="D2" s="67" t="s">
        <v>262</v>
      </c>
      <c r="E2" s="60">
        <f>COUNTIF(Table1[Total_Purchase],"&gt;"&amp;E1)</f>
        <v>58</v>
      </c>
    </row>
    <row r="3" spans="1:11" x14ac:dyDescent="0.35">
      <c r="A3" s="62" t="s">
        <v>263</v>
      </c>
      <c r="B3" s="62" t="str">
        <f>INDEX(Table1[Customer_Name],MATCH(B2,Table1[Total_Purchase],0))</f>
        <v>Rahul Joshi</v>
      </c>
      <c r="D3" s="64"/>
      <c r="E3" s="64"/>
    </row>
    <row r="4" spans="1:11" x14ac:dyDescent="0.35">
      <c r="A4" s="60" t="s">
        <v>264</v>
      </c>
      <c r="B4" s="60" t="str">
        <f>INDEX(Table1[Region],MATCH(B2,Table1[Total_Purchase],0))</f>
        <v>North</v>
      </c>
      <c r="D4" s="17"/>
      <c r="E4" s="17"/>
    </row>
    <row r="5" spans="1:11" x14ac:dyDescent="0.35">
      <c r="A5" s="62" t="s">
        <v>265</v>
      </c>
      <c r="B5" s="63">
        <f>INDEX(Table1[Sales],MATCH(B2,Table1[Total_Purchase],0))</f>
        <v>1825.81</v>
      </c>
      <c r="D5" s="59"/>
      <c r="E5" s="59"/>
    </row>
    <row r="11" spans="1:11" x14ac:dyDescent="0.35">
      <c r="A11" s="18" t="s">
        <v>0</v>
      </c>
      <c r="B11" s="18" t="s">
        <v>1</v>
      </c>
      <c r="C11" s="18" t="s">
        <v>2</v>
      </c>
      <c r="D11" s="18" t="s">
        <v>3</v>
      </c>
      <c r="E11" s="18" t="s">
        <v>4</v>
      </c>
      <c r="F11" s="18" t="s">
        <v>5</v>
      </c>
      <c r="G11" s="18" t="s">
        <v>6</v>
      </c>
      <c r="H11" s="18" t="s">
        <v>7</v>
      </c>
      <c r="I11" s="18" t="s">
        <v>8</v>
      </c>
      <c r="J11" s="18" t="s">
        <v>9</v>
      </c>
      <c r="K11" s="18" t="s">
        <v>10</v>
      </c>
    </row>
    <row r="12" spans="1:11" x14ac:dyDescent="0.35">
      <c r="A12" s="19" t="s">
        <v>35</v>
      </c>
      <c r="B12" s="19" t="s">
        <v>36</v>
      </c>
      <c r="C12" s="19" t="s">
        <v>24</v>
      </c>
      <c r="D12" s="19" t="s">
        <v>19</v>
      </c>
      <c r="E12" s="20">
        <v>1390.08</v>
      </c>
      <c r="F12" s="19">
        <v>18</v>
      </c>
      <c r="G12" s="21">
        <v>0.1</v>
      </c>
      <c r="H12" s="22">
        <v>45406</v>
      </c>
      <c r="I12" s="20">
        <v>334.13</v>
      </c>
      <c r="J12" s="20">
        <v>10564.12</v>
      </c>
      <c r="K12" s="23">
        <f t="shared" ref="K12:K43" ca="1" si="0">NOW()</f>
        <v>46120.473312499998</v>
      </c>
    </row>
    <row r="13" spans="1:11" x14ac:dyDescent="0.35">
      <c r="A13" s="7" t="s">
        <v>26</v>
      </c>
      <c r="B13" s="7" t="s">
        <v>55</v>
      </c>
      <c r="C13" s="7" t="s">
        <v>32</v>
      </c>
      <c r="D13" s="7" t="s">
        <v>51</v>
      </c>
      <c r="E13" s="8">
        <v>1825.81</v>
      </c>
      <c r="F13" s="7">
        <v>16</v>
      </c>
      <c r="G13" s="9">
        <v>0</v>
      </c>
      <c r="H13" s="10">
        <v>45425</v>
      </c>
      <c r="I13" s="8">
        <v>621.23</v>
      </c>
      <c r="J13" s="8">
        <v>11576.38</v>
      </c>
      <c r="K13" s="11">
        <f t="shared" ca="1" si="0"/>
        <v>46120.473312499998</v>
      </c>
    </row>
    <row r="14" spans="1:11" x14ac:dyDescent="0.35">
      <c r="A14" s="19" t="s">
        <v>35</v>
      </c>
      <c r="B14" s="19" t="s">
        <v>60</v>
      </c>
      <c r="C14" s="19" t="s">
        <v>47</v>
      </c>
      <c r="D14" s="19" t="s">
        <v>41</v>
      </c>
      <c r="E14" s="20">
        <v>942.38</v>
      </c>
      <c r="F14" s="19">
        <v>14</v>
      </c>
      <c r="G14" s="21">
        <v>0.2</v>
      </c>
      <c r="H14" s="22">
        <v>45429</v>
      </c>
      <c r="I14" s="20">
        <v>229.81</v>
      </c>
      <c r="J14" s="20">
        <v>10564.12</v>
      </c>
      <c r="K14" s="23">
        <f t="shared" ca="1" si="0"/>
        <v>46120.473312499998</v>
      </c>
    </row>
    <row r="15" spans="1:11" x14ac:dyDescent="0.35">
      <c r="A15" s="7" t="s">
        <v>26</v>
      </c>
      <c r="B15" s="7" t="s">
        <v>61</v>
      </c>
      <c r="C15" s="7" t="s">
        <v>47</v>
      </c>
      <c r="D15" s="7" t="s">
        <v>14</v>
      </c>
      <c r="E15" s="8">
        <v>1461.59</v>
      </c>
      <c r="F15" s="7">
        <v>14</v>
      </c>
      <c r="G15" s="9">
        <v>0.05</v>
      </c>
      <c r="H15" s="10">
        <v>45430</v>
      </c>
      <c r="I15" s="8">
        <v>532.49</v>
      </c>
      <c r="J15" s="8">
        <v>11576.38</v>
      </c>
      <c r="K15" s="11">
        <f t="shared" ca="1" si="0"/>
        <v>46120.473312499998</v>
      </c>
    </row>
    <row r="16" spans="1:11" x14ac:dyDescent="0.35">
      <c r="A16" s="19" t="s">
        <v>29</v>
      </c>
      <c r="B16" s="19" t="s">
        <v>62</v>
      </c>
      <c r="C16" s="19" t="s">
        <v>32</v>
      </c>
      <c r="D16" s="19" t="s">
        <v>41</v>
      </c>
      <c r="E16" s="20">
        <v>371.99</v>
      </c>
      <c r="F16" s="19">
        <v>10</v>
      </c>
      <c r="G16" s="21">
        <v>0.05</v>
      </c>
      <c r="H16" s="22">
        <v>45438</v>
      </c>
      <c r="I16" s="20">
        <v>130.9</v>
      </c>
      <c r="J16" s="20">
        <v>11216.81</v>
      </c>
      <c r="K16" s="23">
        <f t="shared" ca="1" si="0"/>
        <v>46120.473312499998</v>
      </c>
    </row>
    <row r="17" spans="1:11" x14ac:dyDescent="0.35">
      <c r="A17" s="7" t="s">
        <v>37</v>
      </c>
      <c r="B17" s="7" t="s">
        <v>69</v>
      </c>
      <c r="C17" s="7" t="s">
        <v>24</v>
      </c>
      <c r="D17" s="7" t="s">
        <v>25</v>
      </c>
      <c r="E17" s="8">
        <v>515.78</v>
      </c>
      <c r="F17" s="7">
        <v>16</v>
      </c>
      <c r="G17" s="9">
        <v>0.05</v>
      </c>
      <c r="H17" s="10">
        <v>45447</v>
      </c>
      <c r="I17" s="8">
        <v>166.36</v>
      </c>
      <c r="J17" s="8">
        <v>10890.76</v>
      </c>
      <c r="K17" s="11">
        <f t="shared" ca="1" si="0"/>
        <v>46120.473312499998</v>
      </c>
    </row>
    <row r="18" spans="1:11" x14ac:dyDescent="0.35">
      <c r="A18" s="19" t="s">
        <v>37</v>
      </c>
      <c r="B18" s="19" t="s">
        <v>70</v>
      </c>
      <c r="C18" s="19" t="s">
        <v>24</v>
      </c>
      <c r="D18" s="19" t="s">
        <v>14</v>
      </c>
      <c r="E18" s="20">
        <v>1255.8399999999999</v>
      </c>
      <c r="F18" s="19">
        <v>16</v>
      </c>
      <c r="G18" s="21">
        <v>0</v>
      </c>
      <c r="H18" s="22">
        <v>45449</v>
      </c>
      <c r="I18" s="20">
        <v>659.55</v>
      </c>
      <c r="J18" s="20">
        <v>10890.76</v>
      </c>
      <c r="K18" s="23">
        <f t="shared" ca="1" si="0"/>
        <v>46120.473312499998</v>
      </c>
    </row>
    <row r="19" spans="1:11" x14ac:dyDescent="0.35">
      <c r="A19" s="7" t="s">
        <v>42</v>
      </c>
      <c r="B19" s="7" t="s">
        <v>71</v>
      </c>
      <c r="C19" s="7" t="s">
        <v>13</v>
      </c>
      <c r="D19" s="7" t="s">
        <v>51</v>
      </c>
      <c r="E19" s="8">
        <v>642.08000000000004</v>
      </c>
      <c r="F19" s="7">
        <v>7</v>
      </c>
      <c r="G19" s="9">
        <v>0.1</v>
      </c>
      <c r="H19" s="10">
        <v>45453</v>
      </c>
      <c r="I19" s="8">
        <v>295.36</v>
      </c>
      <c r="J19" s="8">
        <v>10167.540000000001</v>
      </c>
      <c r="K19" s="11">
        <f t="shared" ca="1" si="0"/>
        <v>46120.473312499998</v>
      </c>
    </row>
    <row r="20" spans="1:11" x14ac:dyDescent="0.35">
      <c r="A20" s="19" t="s">
        <v>37</v>
      </c>
      <c r="B20" s="19" t="s">
        <v>74</v>
      </c>
      <c r="C20" s="19" t="s">
        <v>32</v>
      </c>
      <c r="D20" s="19" t="s">
        <v>25</v>
      </c>
      <c r="E20" s="20">
        <v>1671.88</v>
      </c>
      <c r="F20" s="19">
        <v>15</v>
      </c>
      <c r="G20" s="21">
        <v>0</v>
      </c>
      <c r="H20" s="22">
        <v>45456</v>
      </c>
      <c r="I20" s="20">
        <v>373.72</v>
      </c>
      <c r="J20" s="20">
        <v>10890.76</v>
      </c>
      <c r="K20" s="23">
        <f t="shared" ca="1" si="0"/>
        <v>46120.473312499998</v>
      </c>
    </row>
    <row r="21" spans="1:11" x14ac:dyDescent="0.35">
      <c r="A21" s="7" t="s">
        <v>42</v>
      </c>
      <c r="B21" s="7" t="s">
        <v>76</v>
      </c>
      <c r="C21" s="7" t="s">
        <v>24</v>
      </c>
      <c r="D21" s="7" t="s">
        <v>14</v>
      </c>
      <c r="E21" s="8">
        <v>773.76</v>
      </c>
      <c r="F21" s="7">
        <v>13</v>
      </c>
      <c r="G21" s="9">
        <v>0.1</v>
      </c>
      <c r="H21" s="10">
        <v>45457</v>
      </c>
      <c r="I21" s="8">
        <v>336.23</v>
      </c>
      <c r="J21" s="8">
        <v>10167.540000000001</v>
      </c>
      <c r="K21" s="11">
        <f t="shared" ca="1" si="0"/>
        <v>46120.473312499998</v>
      </c>
    </row>
    <row r="22" spans="1:11" x14ac:dyDescent="0.35">
      <c r="A22" s="19" t="s">
        <v>37</v>
      </c>
      <c r="B22" s="19" t="s">
        <v>18</v>
      </c>
      <c r="C22" s="19" t="s">
        <v>13</v>
      </c>
      <c r="D22" s="19" t="s">
        <v>51</v>
      </c>
      <c r="E22" s="20">
        <v>1503.3</v>
      </c>
      <c r="F22" s="19">
        <v>6</v>
      </c>
      <c r="G22" s="21">
        <v>0.05</v>
      </c>
      <c r="H22" s="22">
        <v>45459</v>
      </c>
      <c r="I22" s="20">
        <v>714.49</v>
      </c>
      <c r="J22" s="20">
        <v>10890.76</v>
      </c>
      <c r="K22" s="23">
        <f t="shared" ca="1" si="0"/>
        <v>46120.473312499998</v>
      </c>
    </row>
    <row r="23" spans="1:11" x14ac:dyDescent="0.35">
      <c r="A23" s="7" t="s">
        <v>26</v>
      </c>
      <c r="B23" s="7" t="s">
        <v>77</v>
      </c>
      <c r="C23" s="7" t="s">
        <v>50</v>
      </c>
      <c r="D23" s="7" t="s">
        <v>51</v>
      </c>
      <c r="E23" s="8">
        <v>817.52</v>
      </c>
      <c r="F23" s="7">
        <v>18</v>
      </c>
      <c r="G23" s="9">
        <v>0</v>
      </c>
      <c r="H23" s="10">
        <v>45462</v>
      </c>
      <c r="I23" s="8">
        <v>206.66</v>
      </c>
      <c r="J23" s="8">
        <v>11576.38</v>
      </c>
      <c r="K23" s="11">
        <f t="shared" ca="1" si="0"/>
        <v>46120.473312499998</v>
      </c>
    </row>
    <row r="24" spans="1:11" x14ac:dyDescent="0.35">
      <c r="A24" s="19" t="s">
        <v>37</v>
      </c>
      <c r="B24" s="19" t="s">
        <v>78</v>
      </c>
      <c r="C24" s="19" t="s">
        <v>13</v>
      </c>
      <c r="D24" s="19" t="s">
        <v>14</v>
      </c>
      <c r="E24" s="20">
        <v>1656.07</v>
      </c>
      <c r="F24" s="19">
        <v>11</v>
      </c>
      <c r="G24" s="21">
        <v>0.05</v>
      </c>
      <c r="H24" s="22">
        <v>45462</v>
      </c>
      <c r="I24" s="20">
        <v>353.42</v>
      </c>
      <c r="J24" s="20">
        <v>10890.76</v>
      </c>
      <c r="K24" s="23">
        <f t="shared" ca="1" si="0"/>
        <v>46120.473312499998</v>
      </c>
    </row>
    <row r="25" spans="1:11" x14ac:dyDescent="0.35">
      <c r="A25" s="7" t="s">
        <v>26</v>
      </c>
      <c r="B25" s="7" t="s">
        <v>83</v>
      </c>
      <c r="C25" s="7" t="s">
        <v>13</v>
      </c>
      <c r="D25" s="7" t="s">
        <v>14</v>
      </c>
      <c r="E25" s="8">
        <v>1174.3</v>
      </c>
      <c r="F25" s="7">
        <v>10</v>
      </c>
      <c r="G25" s="9">
        <v>0.1</v>
      </c>
      <c r="H25" s="10">
        <v>45472</v>
      </c>
      <c r="I25" s="8">
        <v>527.41999999999996</v>
      </c>
      <c r="J25" s="8">
        <v>11576.38</v>
      </c>
      <c r="K25" s="11">
        <f t="shared" ca="1" si="0"/>
        <v>46120.473312499998</v>
      </c>
    </row>
    <row r="26" spans="1:11" x14ac:dyDescent="0.35">
      <c r="A26" s="19" t="s">
        <v>29</v>
      </c>
      <c r="B26" s="19" t="s">
        <v>84</v>
      </c>
      <c r="C26" s="19" t="s">
        <v>24</v>
      </c>
      <c r="D26" s="19" t="s">
        <v>19</v>
      </c>
      <c r="E26" s="20">
        <v>1641.73</v>
      </c>
      <c r="F26" s="19">
        <v>18</v>
      </c>
      <c r="G26" s="21">
        <v>0.15</v>
      </c>
      <c r="H26" s="22">
        <v>45473</v>
      </c>
      <c r="I26" s="20">
        <v>755.65</v>
      </c>
      <c r="J26" s="20">
        <v>11216.81</v>
      </c>
      <c r="K26" s="23">
        <f t="shared" ca="1" si="0"/>
        <v>46120.473312499998</v>
      </c>
    </row>
    <row r="27" spans="1:11" x14ac:dyDescent="0.35">
      <c r="A27" s="7" t="s">
        <v>37</v>
      </c>
      <c r="B27" s="7" t="s">
        <v>94</v>
      </c>
      <c r="C27" s="7" t="s">
        <v>50</v>
      </c>
      <c r="D27" s="7" t="s">
        <v>41</v>
      </c>
      <c r="E27" s="8">
        <v>944.48</v>
      </c>
      <c r="F27" s="7">
        <v>6</v>
      </c>
      <c r="G27" s="9">
        <v>0.05</v>
      </c>
      <c r="H27" s="10">
        <v>45481</v>
      </c>
      <c r="I27" s="8">
        <v>215</v>
      </c>
      <c r="J27" s="8">
        <v>10890.76</v>
      </c>
      <c r="K27" s="11">
        <f t="shared" ca="1" si="0"/>
        <v>46120.473312499998</v>
      </c>
    </row>
    <row r="28" spans="1:11" x14ac:dyDescent="0.35">
      <c r="A28" s="19" t="s">
        <v>37</v>
      </c>
      <c r="B28" s="19" t="s">
        <v>60</v>
      </c>
      <c r="C28" s="19" t="s">
        <v>47</v>
      </c>
      <c r="D28" s="19" t="s">
        <v>41</v>
      </c>
      <c r="E28" s="20">
        <v>1503.36</v>
      </c>
      <c r="F28" s="19">
        <v>18</v>
      </c>
      <c r="G28" s="21">
        <v>0.2</v>
      </c>
      <c r="H28" s="22">
        <v>45504</v>
      </c>
      <c r="I28" s="20">
        <v>557.57000000000005</v>
      </c>
      <c r="J28" s="20">
        <v>10890.76</v>
      </c>
      <c r="K28" s="23">
        <f t="shared" ca="1" si="0"/>
        <v>46120.473312499998</v>
      </c>
    </row>
    <row r="29" spans="1:11" x14ac:dyDescent="0.35">
      <c r="A29" s="7" t="s">
        <v>33</v>
      </c>
      <c r="B29" s="7" t="s">
        <v>108</v>
      </c>
      <c r="C29" s="7" t="s">
        <v>47</v>
      </c>
      <c r="D29" s="7" t="s">
        <v>19</v>
      </c>
      <c r="E29" s="8">
        <v>1579.03</v>
      </c>
      <c r="F29" s="7">
        <v>3</v>
      </c>
      <c r="G29" s="9">
        <v>0.1</v>
      </c>
      <c r="H29" s="10">
        <v>45505</v>
      </c>
      <c r="I29" s="8">
        <v>539.29999999999995</v>
      </c>
      <c r="J29" s="8">
        <v>11063.92</v>
      </c>
      <c r="K29" s="11">
        <f t="shared" ca="1" si="0"/>
        <v>46120.473312499998</v>
      </c>
    </row>
    <row r="30" spans="1:11" x14ac:dyDescent="0.35">
      <c r="A30" s="19" t="s">
        <v>33</v>
      </c>
      <c r="B30" s="19" t="s">
        <v>109</v>
      </c>
      <c r="C30" s="19" t="s">
        <v>47</v>
      </c>
      <c r="D30" s="19" t="s">
        <v>41</v>
      </c>
      <c r="E30" s="20">
        <v>503.48</v>
      </c>
      <c r="F30" s="19">
        <v>14</v>
      </c>
      <c r="G30" s="21">
        <v>0</v>
      </c>
      <c r="H30" s="22">
        <v>45505</v>
      </c>
      <c r="I30" s="20">
        <v>244.61</v>
      </c>
      <c r="J30" s="20">
        <v>11063.92</v>
      </c>
      <c r="K30" s="23">
        <f t="shared" ca="1" si="0"/>
        <v>46120.473312499998</v>
      </c>
    </row>
    <row r="31" spans="1:11" x14ac:dyDescent="0.35">
      <c r="A31" s="7" t="s">
        <v>42</v>
      </c>
      <c r="B31" s="7" t="s">
        <v>110</v>
      </c>
      <c r="C31" s="7" t="s">
        <v>32</v>
      </c>
      <c r="D31" s="7" t="s">
        <v>14</v>
      </c>
      <c r="E31" s="8">
        <v>1690.15</v>
      </c>
      <c r="F31" s="7">
        <v>3</v>
      </c>
      <c r="G31" s="9">
        <v>0.2</v>
      </c>
      <c r="H31" s="10">
        <v>45513</v>
      </c>
      <c r="I31" s="8">
        <v>502.76</v>
      </c>
      <c r="J31" s="8">
        <v>10167.540000000001</v>
      </c>
      <c r="K31" s="11">
        <f t="shared" ca="1" si="0"/>
        <v>46120.473312499998</v>
      </c>
    </row>
    <row r="32" spans="1:11" x14ac:dyDescent="0.35">
      <c r="A32" s="19" t="s">
        <v>35</v>
      </c>
      <c r="B32" s="19" t="s">
        <v>115</v>
      </c>
      <c r="C32" s="19" t="s">
        <v>50</v>
      </c>
      <c r="D32" s="19" t="s">
        <v>25</v>
      </c>
      <c r="E32" s="20">
        <v>1609.36</v>
      </c>
      <c r="F32" s="19">
        <v>10</v>
      </c>
      <c r="G32" s="21">
        <v>0</v>
      </c>
      <c r="H32" s="22">
        <v>45519</v>
      </c>
      <c r="I32" s="20">
        <v>388.59</v>
      </c>
      <c r="J32" s="20">
        <v>10564.12</v>
      </c>
      <c r="K32" s="23">
        <f t="shared" ca="1" si="0"/>
        <v>46120.473312499998</v>
      </c>
    </row>
    <row r="33" spans="1:11" x14ac:dyDescent="0.35">
      <c r="A33" s="7" t="s">
        <v>33</v>
      </c>
      <c r="B33" s="7" t="s">
        <v>116</v>
      </c>
      <c r="C33" s="7" t="s">
        <v>50</v>
      </c>
      <c r="D33" s="7" t="s">
        <v>41</v>
      </c>
      <c r="E33" s="8">
        <v>869.34</v>
      </c>
      <c r="F33" s="7">
        <v>11</v>
      </c>
      <c r="G33" s="9">
        <v>0.1</v>
      </c>
      <c r="H33" s="10">
        <v>45519</v>
      </c>
      <c r="I33" s="8">
        <v>466.12</v>
      </c>
      <c r="J33" s="8">
        <v>11063.92</v>
      </c>
      <c r="K33" s="11">
        <f t="shared" ca="1" si="0"/>
        <v>46120.473312499998</v>
      </c>
    </row>
    <row r="34" spans="1:11" x14ac:dyDescent="0.35">
      <c r="A34" s="19" t="s">
        <v>42</v>
      </c>
      <c r="B34" s="19" t="s">
        <v>117</v>
      </c>
      <c r="C34" s="19" t="s">
        <v>47</v>
      </c>
      <c r="D34" s="19" t="s">
        <v>41</v>
      </c>
      <c r="E34" s="20">
        <v>319.14</v>
      </c>
      <c r="F34" s="19">
        <v>3</v>
      </c>
      <c r="G34" s="21">
        <v>0.1</v>
      </c>
      <c r="H34" s="22">
        <v>45521</v>
      </c>
      <c r="I34" s="20">
        <v>99.94</v>
      </c>
      <c r="J34" s="20">
        <v>10167.540000000001</v>
      </c>
      <c r="K34" s="23">
        <f t="shared" ca="1" si="0"/>
        <v>46120.473312499998</v>
      </c>
    </row>
    <row r="35" spans="1:11" x14ac:dyDescent="0.35">
      <c r="A35" s="7" t="s">
        <v>29</v>
      </c>
      <c r="B35" s="7" t="s">
        <v>124</v>
      </c>
      <c r="C35" s="7" t="s">
        <v>32</v>
      </c>
      <c r="D35" s="7" t="s">
        <v>14</v>
      </c>
      <c r="E35" s="8">
        <v>1494.87</v>
      </c>
      <c r="F35" s="7">
        <v>5</v>
      </c>
      <c r="G35" s="9">
        <v>0.1</v>
      </c>
      <c r="H35" s="10">
        <v>45536</v>
      </c>
      <c r="I35" s="8">
        <v>615.41999999999996</v>
      </c>
      <c r="J35" s="8">
        <v>11216.81</v>
      </c>
      <c r="K35" s="11">
        <f t="shared" ca="1" si="0"/>
        <v>46120.473312499998</v>
      </c>
    </row>
    <row r="36" spans="1:11" x14ac:dyDescent="0.35">
      <c r="A36" s="19" t="s">
        <v>35</v>
      </c>
      <c r="B36" s="19" t="s">
        <v>131</v>
      </c>
      <c r="C36" s="19" t="s">
        <v>47</v>
      </c>
      <c r="D36" s="19" t="s">
        <v>14</v>
      </c>
      <c r="E36" s="20">
        <v>1337.08</v>
      </c>
      <c r="F36" s="19">
        <v>5</v>
      </c>
      <c r="G36" s="21">
        <v>0.15</v>
      </c>
      <c r="H36" s="22">
        <v>45541</v>
      </c>
      <c r="I36" s="20">
        <v>505.56</v>
      </c>
      <c r="J36" s="20">
        <v>10564.12</v>
      </c>
      <c r="K36" s="23">
        <f t="shared" ca="1" si="0"/>
        <v>46120.473312499998</v>
      </c>
    </row>
    <row r="37" spans="1:11" x14ac:dyDescent="0.35">
      <c r="A37" s="7" t="s">
        <v>33</v>
      </c>
      <c r="B37" s="7" t="s">
        <v>132</v>
      </c>
      <c r="C37" s="7" t="s">
        <v>50</v>
      </c>
      <c r="D37" s="7" t="s">
        <v>25</v>
      </c>
      <c r="E37" s="8">
        <v>363.13</v>
      </c>
      <c r="F37" s="7">
        <v>15</v>
      </c>
      <c r="G37" s="9">
        <v>0</v>
      </c>
      <c r="H37" s="10">
        <v>45542</v>
      </c>
      <c r="I37" s="8">
        <v>98.25</v>
      </c>
      <c r="J37" s="8">
        <v>11063.92</v>
      </c>
      <c r="K37" s="11">
        <f t="shared" ca="1" si="0"/>
        <v>46120.473312499998</v>
      </c>
    </row>
    <row r="38" spans="1:11" x14ac:dyDescent="0.35">
      <c r="A38" s="19" t="s">
        <v>29</v>
      </c>
      <c r="B38" s="19" t="s">
        <v>134</v>
      </c>
      <c r="C38" s="19" t="s">
        <v>24</v>
      </c>
      <c r="D38" s="19" t="s">
        <v>51</v>
      </c>
      <c r="E38" s="20">
        <v>1641.57</v>
      </c>
      <c r="F38" s="19">
        <v>9</v>
      </c>
      <c r="G38" s="21">
        <v>0.15</v>
      </c>
      <c r="H38" s="22">
        <v>45543</v>
      </c>
      <c r="I38" s="20">
        <v>757.25</v>
      </c>
      <c r="J38" s="20">
        <v>11216.81</v>
      </c>
      <c r="K38" s="23">
        <f t="shared" ca="1" si="0"/>
        <v>46120.473312499998</v>
      </c>
    </row>
    <row r="39" spans="1:11" x14ac:dyDescent="0.35">
      <c r="A39" s="7" t="s">
        <v>33</v>
      </c>
      <c r="B39" s="7" t="s">
        <v>151</v>
      </c>
      <c r="C39" s="7" t="s">
        <v>47</v>
      </c>
      <c r="D39" s="7" t="s">
        <v>41</v>
      </c>
      <c r="E39" s="8">
        <v>311.95</v>
      </c>
      <c r="F39" s="7">
        <v>5</v>
      </c>
      <c r="G39" s="9">
        <v>0.15</v>
      </c>
      <c r="H39" s="10">
        <v>45581</v>
      </c>
      <c r="I39" s="8">
        <v>103.01</v>
      </c>
      <c r="J39" s="8">
        <v>11063.92</v>
      </c>
      <c r="K39" s="11">
        <f t="shared" ca="1" si="0"/>
        <v>46120.473312499998</v>
      </c>
    </row>
    <row r="40" spans="1:11" x14ac:dyDescent="0.35">
      <c r="A40" s="19" t="s">
        <v>29</v>
      </c>
      <c r="B40" s="19" t="s">
        <v>153</v>
      </c>
      <c r="C40" s="19" t="s">
        <v>47</v>
      </c>
      <c r="D40" s="19" t="s">
        <v>14</v>
      </c>
      <c r="E40" s="20">
        <v>918.49</v>
      </c>
      <c r="F40" s="19">
        <v>12</v>
      </c>
      <c r="G40" s="21">
        <v>0.05</v>
      </c>
      <c r="H40" s="22">
        <v>45589</v>
      </c>
      <c r="I40" s="20">
        <v>503.41</v>
      </c>
      <c r="J40" s="20">
        <v>11216.81</v>
      </c>
      <c r="K40" s="23">
        <f t="shared" ca="1" si="0"/>
        <v>46120.473312499998</v>
      </c>
    </row>
    <row r="41" spans="1:11" x14ac:dyDescent="0.35">
      <c r="A41" s="7" t="s">
        <v>33</v>
      </c>
      <c r="B41" s="7" t="s">
        <v>64</v>
      </c>
      <c r="C41" s="7" t="s">
        <v>47</v>
      </c>
      <c r="D41" s="7" t="s">
        <v>41</v>
      </c>
      <c r="E41" s="8">
        <v>581.92999999999995</v>
      </c>
      <c r="F41" s="7">
        <v>13</v>
      </c>
      <c r="G41" s="9">
        <v>0.15</v>
      </c>
      <c r="H41" s="10">
        <v>45596</v>
      </c>
      <c r="I41" s="8">
        <v>166.08</v>
      </c>
      <c r="J41" s="8">
        <v>11063.92</v>
      </c>
      <c r="K41" s="11">
        <f t="shared" ca="1" si="0"/>
        <v>46120.473312499998</v>
      </c>
    </row>
    <row r="42" spans="1:11" x14ac:dyDescent="0.35">
      <c r="A42" s="19" t="s">
        <v>35</v>
      </c>
      <c r="B42" s="19" t="s">
        <v>162</v>
      </c>
      <c r="C42" s="19" t="s">
        <v>13</v>
      </c>
      <c r="D42" s="19" t="s">
        <v>41</v>
      </c>
      <c r="E42" s="20">
        <v>1505.76</v>
      </c>
      <c r="F42" s="19">
        <v>19</v>
      </c>
      <c r="G42" s="21">
        <v>0.1</v>
      </c>
      <c r="H42" s="22">
        <v>45616</v>
      </c>
      <c r="I42" s="20">
        <v>366.69</v>
      </c>
      <c r="J42" s="20">
        <v>10564.12</v>
      </c>
      <c r="K42" s="23">
        <f t="shared" ca="1" si="0"/>
        <v>46120.473312499998</v>
      </c>
    </row>
    <row r="43" spans="1:11" x14ac:dyDescent="0.35">
      <c r="A43" s="7" t="s">
        <v>33</v>
      </c>
      <c r="B43" s="7" t="s">
        <v>163</v>
      </c>
      <c r="C43" s="7" t="s">
        <v>32</v>
      </c>
      <c r="D43" s="7" t="s">
        <v>25</v>
      </c>
      <c r="E43" s="8">
        <v>702.92</v>
      </c>
      <c r="F43" s="7">
        <v>5</v>
      </c>
      <c r="G43" s="9">
        <v>0.1</v>
      </c>
      <c r="H43" s="10">
        <v>45616</v>
      </c>
      <c r="I43" s="8">
        <v>357.29</v>
      </c>
      <c r="J43" s="8">
        <v>11063.92</v>
      </c>
      <c r="K43" s="11">
        <f t="shared" ca="1" si="0"/>
        <v>46120.473312499998</v>
      </c>
    </row>
    <row r="44" spans="1:11" x14ac:dyDescent="0.35">
      <c r="A44" s="19" t="s">
        <v>26</v>
      </c>
      <c r="B44" s="19" t="s">
        <v>164</v>
      </c>
      <c r="C44" s="19" t="s">
        <v>32</v>
      </c>
      <c r="D44" s="19" t="s">
        <v>41</v>
      </c>
      <c r="E44" s="20">
        <v>1334.45</v>
      </c>
      <c r="F44" s="19">
        <v>2</v>
      </c>
      <c r="G44" s="21">
        <v>0.05</v>
      </c>
      <c r="H44" s="22">
        <v>45616</v>
      </c>
      <c r="I44" s="20">
        <v>729.74</v>
      </c>
      <c r="J44" s="20">
        <v>11576.38</v>
      </c>
      <c r="K44" s="23">
        <f t="shared" ref="K44:K69" ca="1" si="1">NOW()</f>
        <v>46120.473312499998</v>
      </c>
    </row>
    <row r="45" spans="1:11" x14ac:dyDescent="0.35">
      <c r="A45" s="7" t="s">
        <v>26</v>
      </c>
      <c r="B45" s="7" t="s">
        <v>167</v>
      </c>
      <c r="C45" s="7" t="s">
        <v>47</v>
      </c>
      <c r="D45" s="7" t="s">
        <v>51</v>
      </c>
      <c r="E45" s="8">
        <v>1386.9</v>
      </c>
      <c r="F45" s="7">
        <v>6</v>
      </c>
      <c r="G45" s="9">
        <v>0</v>
      </c>
      <c r="H45" s="10">
        <v>45618</v>
      </c>
      <c r="I45" s="8">
        <v>736.21</v>
      </c>
      <c r="J45" s="8">
        <v>11576.38</v>
      </c>
      <c r="K45" s="11">
        <f t="shared" ca="1" si="1"/>
        <v>46120.473312499998</v>
      </c>
    </row>
    <row r="46" spans="1:11" x14ac:dyDescent="0.35">
      <c r="A46" s="19" t="s">
        <v>26</v>
      </c>
      <c r="B46" s="19" t="s">
        <v>168</v>
      </c>
      <c r="C46" s="19" t="s">
        <v>47</v>
      </c>
      <c r="D46" s="19" t="s">
        <v>19</v>
      </c>
      <c r="E46" s="20">
        <v>968.17</v>
      </c>
      <c r="F46" s="19">
        <v>4</v>
      </c>
      <c r="G46" s="21">
        <v>0.15</v>
      </c>
      <c r="H46" s="22">
        <v>45619</v>
      </c>
      <c r="I46" s="20">
        <v>218.54</v>
      </c>
      <c r="J46" s="20">
        <v>11576.38</v>
      </c>
      <c r="K46" s="23">
        <f t="shared" ca="1" si="1"/>
        <v>46120.473312499998</v>
      </c>
    </row>
    <row r="47" spans="1:11" x14ac:dyDescent="0.35">
      <c r="A47" s="7" t="s">
        <v>33</v>
      </c>
      <c r="B47" s="7" t="s">
        <v>170</v>
      </c>
      <c r="C47" s="7" t="s">
        <v>24</v>
      </c>
      <c r="D47" s="7" t="s">
        <v>41</v>
      </c>
      <c r="E47" s="8">
        <v>633.99</v>
      </c>
      <c r="F47" s="7">
        <v>17</v>
      </c>
      <c r="G47" s="9">
        <v>0.15</v>
      </c>
      <c r="H47" s="10">
        <v>45622</v>
      </c>
      <c r="I47" s="8">
        <v>328.39</v>
      </c>
      <c r="J47" s="8">
        <v>11063.92</v>
      </c>
      <c r="K47" s="11">
        <f t="shared" ca="1" si="1"/>
        <v>46120.473312499998</v>
      </c>
    </row>
    <row r="48" spans="1:11" x14ac:dyDescent="0.35">
      <c r="A48" s="19" t="s">
        <v>33</v>
      </c>
      <c r="B48" s="19" t="s">
        <v>175</v>
      </c>
      <c r="C48" s="19" t="s">
        <v>50</v>
      </c>
      <c r="D48" s="19" t="s">
        <v>25</v>
      </c>
      <c r="E48" s="20">
        <v>503.49</v>
      </c>
      <c r="F48" s="19">
        <v>2</v>
      </c>
      <c r="G48" s="21">
        <v>0.05</v>
      </c>
      <c r="H48" s="22">
        <v>45635</v>
      </c>
      <c r="I48" s="20">
        <v>208.42</v>
      </c>
      <c r="J48" s="20">
        <v>11063.92</v>
      </c>
      <c r="K48" s="23">
        <f t="shared" ca="1" si="1"/>
        <v>46120.473312499998</v>
      </c>
    </row>
    <row r="49" spans="1:11" x14ac:dyDescent="0.35">
      <c r="A49" s="7" t="s">
        <v>29</v>
      </c>
      <c r="B49" s="7" t="s">
        <v>178</v>
      </c>
      <c r="C49" s="7" t="s">
        <v>32</v>
      </c>
      <c r="D49" s="7" t="s">
        <v>25</v>
      </c>
      <c r="E49" s="8">
        <v>1720.76</v>
      </c>
      <c r="F49" s="7">
        <v>3</v>
      </c>
      <c r="G49" s="9">
        <v>0</v>
      </c>
      <c r="H49" s="10">
        <v>45640</v>
      </c>
      <c r="I49" s="8">
        <v>835.62</v>
      </c>
      <c r="J49" s="8">
        <v>11216.81</v>
      </c>
      <c r="K49" s="11">
        <f t="shared" ca="1" si="1"/>
        <v>46120.473312499998</v>
      </c>
    </row>
    <row r="50" spans="1:11" x14ac:dyDescent="0.35">
      <c r="A50" s="19" t="s">
        <v>35</v>
      </c>
      <c r="B50" s="19" t="s">
        <v>179</v>
      </c>
      <c r="C50" s="19" t="s">
        <v>47</v>
      </c>
      <c r="D50" s="19" t="s">
        <v>14</v>
      </c>
      <c r="E50" s="20">
        <v>490.87</v>
      </c>
      <c r="F50" s="19">
        <v>2</v>
      </c>
      <c r="G50" s="21">
        <v>0.1</v>
      </c>
      <c r="H50" s="22">
        <v>45644</v>
      </c>
      <c r="I50" s="20">
        <v>118.12</v>
      </c>
      <c r="J50" s="20">
        <v>10564.12</v>
      </c>
      <c r="K50" s="23">
        <f t="shared" ca="1" si="1"/>
        <v>46120.473312499998</v>
      </c>
    </row>
    <row r="51" spans="1:11" x14ac:dyDescent="0.35">
      <c r="A51" s="7" t="s">
        <v>33</v>
      </c>
      <c r="B51" s="7" t="s">
        <v>182</v>
      </c>
      <c r="C51" s="7" t="s">
        <v>32</v>
      </c>
      <c r="D51" s="7" t="s">
        <v>41</v>
      </c>
      <c r="E51" s="8">
        <v>1027.6500000000001</v>
      </c>
      <c r="F51" s="7">
        <v>2</v>
      </c>
      <c r="G51" s="9">
        <v>0.05</v>
      </c>
      <c r="H51" s="10">
        <v>45657</v>
      </c>
      <c r="I51" s="8">
        <v>335.65</v>
      </c>
      <c r="J51" s="8">
        <v>11063.92</v>
      </c>
      <c r="K51" s="11">
        <f t="shared" ca="1" si="1"/>
        <v>46120.473312499998</v>
      </c>
    </row>
    <row r="52" spans="1:11" x14ac:dyDescent="0.35">
      <c r="A52" s="19" t="s">
        <v>42</v>
      </c>
      <c r="B52" s="19" t="s">
        <v>184</v>
      </c>
      <c r="C52" s="19" t="s">
        <v>47</v>
      </c>
      <c r="D52" s="19" t="s">
        <v>14</v>
      </c>
      <c r="E52" s="20">
        <v>663.37</v>
      </c>
      <c r="F52" s="19">
        <v>19</v>
      </c>
      <c r="G52" s="21">
        <v>0.15</v>
      </c>
      <c r="H52" s="22">
        <v>45660</v>
      </c>
      <c r="I52" s="20">
        <v>150.93</v>
      </c>
      <c r="J52" s="20">
        <v>10167.540000000001</v>
      </c>
      <c r="K52" s="23">
        <f t="shared" ca="1" si="1"/>
        <v>46120.473312499998</v>
      </c>
    </row>
    <row r="53" spans="1:11" x14ac:dyDescent="0.35">
      <c r="A53" s="7" t="s">
        <v>33</v>
      </c>
      <c r="B53" s="7" t="s">
        <v>185</v>
      </c>
      <c r="C53" s="7" t="s">
        <v>50</v>
      </c>
      <c r="D53" s="7" t="s">
        <v>19</v>
      </c>
      <c r="E53" s="8">
        <v>1835.45</v>
      </c>
      <c r="F53" s="7">
        <v>6</v>
      </c>
      <c r="G53" s="9">
        <v>0.1</v>
      </c>
      <c r="H53" s="10">
        <v>45662</v>
      </c>
      <c r="I53" s="8">
        <v>927.55</v>
      </c>
      <c r="J53" s="8">
        <v>11063.92</v>
      </c>
      <c r="K53" s="11">
        <f t="shared" ca="1" si="1"/>
        <v>46120.473312499998</v>
      </c>
    </row>
    <row r="54" spans="1:11" x14ac:dyDescent="0.35">
      <c r="A54" s="19" t="s">
        <v>29</v>
      </c>
      <c r="B54" s="19" t="s">
        <v>187</v>
      </c>
      <c r="C54" s="19" t="s">
        <v>47</v>
      </c>
      <c r="D54" s="19" t="s">
        <v>51</v>
      </c>
      <c r="E54" s="20">
        <v>1648.96</v>
      </c>
      <c r="F54" s="19">
        <v>16</v>
      </c>
      <c r="G54" s="21">
        <v>0</v>
      </c>
      <c r="H54" s="22">
        <v>45668</v>
      </c>
      <c r="I54" s="20">
        <v>359.85</v>
      </c>
      <c r="J54" s="20">
        <v>11216.81</v>
      </c>
      <c r="K54" s="23">
        <f t="shared" ca="1" si="1"/>
        <v>46120.473312499998</v>
      </c>
    </row>
    <row r="55" spans="1:11" x14ac:dyDescent="0.35">
      <c r="A55" s="7" t="s">
        <v>35</v>
      </c>
      <c r="B55" s="7" t="s">
        <v>28</v>
      </c>
      <c r="C55" s="7" t="s">
        <v>50</v>
      </c>
      <c r="D55" s="7" t="s">
        <v>14</v>
      </c>
      <c r="E55" s="8">
        <v>468.24</v>
      </c>
      <c r="F55" s="7">
        <v>20</v>
      </c>
      <c r="G55" s="9">
        <v>0.2</v>
      </c>
      <c r="H55" s="10">
        <v>45672</v>
      </c>
      <c r="I55" s="8">
        <v>210.36</v>
      </c>
      <c r="J55" s="8">
        <v>10564.12</v>
      </c>
      <c r="K55" s="11">
        <f t="shared" ca="1" si="1"/>
        <v>46120.473312499998</v>
      </c>
    </row>
    <row r="56" spans="1:11" x14ac:dyDescent="0.35">
      <c r="A56" s="19" t="s">
        <v>35</v>
      </c>
      <c r="B56" s="19" t="s">
        <v>190</v>
      </c>
      <c r="C56" s="19" t="s">
        <v>32</v>
      </c>
      <c r="D56" s="19" t="s">
        <v>19</v>
      </c>
      <c r="E56" s="20">
        <v>418.88</v>
      </c>
      <c r="F56" s="19">
        <v>12</v>
      </c>
      <c r="G56" s="21">
        <v>0.05</v>
      </c>
      <c r="H56" s="22">
        <v>45676</v>
      </c>
      <c r="I56" s="20">
        <v>92.57</v>
      </c>
      <c r="J56" s="20">
        <v>10564.12</v>
      </c>
      <c r="K56" s="23">
        <f t="shared" ca="1" si="1"/>
        <v>46120.473312499998</v>
      </c>
    </row>
    <row r="57" spans="1:11" x14ac:dyDescent="0.35">
      <c r="A57" s="7" t="s">
        <v>33</v>
      </c>
      <c r="B57" s="7" t="s">
        <v>199</v>
      </c>
      <c r="C57" s="7" t="s">
        <v>50</v>
      </c>
      <c r="D57" s="7" t="s">
        <v>19</v>
      </c>
      <c r="E57" s="8">
        <v>718.65</v>
      </c>
      <c r="F57" s="7">
        <v>19</v>
      </c>
      <c r="G57" s="9">
        <v>0.2</v>
      </c>
      <c r="H57" s="10">
        <v>45697</v>
      </c>
      <c r="I57" s="8">
        <v>214.91</v>
      </c>
      <c r="J57" s="8">
        <v>11063.92</v>
      </c>
      <c r="K57" s="11">
        <f t="shared" ca="1" si="1"/>
        <v>46120.473312499998</v>
      </c>
    </row>
    <row r="58" spans="1:11" x14ac:dyDescent="0.35">
      <c r="A58" s="19" t="s">
        <v>42</v>
      </c>
      <c r="B58" s="19" t="s">
        <v>60</v>
      </c>
      <c r="C58" s="19" t="s">
        <v>13</v>
      </c>
      <c r="D58" s="19" t="s">
        <v>41</v>
      </c>
      <c r="E58" s="20">
        <v>1157.6099999999999</v>
      </c>
      <c r="F58" s="19">
        <v>15</v>
      </c>
      <c r="G58" s="21">
        <v>0</v>
      </c>
      <c r="H58" s="22">
        <v>45698</v>
      </c>
      <c r="I58" s="20">
        <v>247.67</v>
      </c>
      <c r="J58" s="20">
        <v>10167.540000000001</v>
      </c>
      <c r="K58" s="23">
        <f t="shared" ca="1" si="1"/>
        <v>46120.473312499998</v>
      </c>
    </row>
    <row r="59" spans="1:11" x14ac:dyDescent="0.35">
      <c r="A59" s="7" t="s">
        <v>29</v>
      </c>
      <c r="B59" s="7" t="s">
        <v>201</v>
      </c>
      <c r="C59" s="7" t="s">
        <v>50</v>
      </c>
      <c r="D59" s="7" t="s">
        <v>41</v>
      </c>
      <c r="E59" s="8">
        <v>1778.44</v>
      </c>
      <c r="F59" s="7">
        <v>10</v>
      </c>
      <c r="G59" s="9">
        <v>0.2</v>
      </c>
      <c r="H59" s="10">
        <v>45703</v>
      </c>
      <c r="I59" s="8">
        <v>479.5</v>
      </c>
      <c r="J59" s="8">
        <v>11216.81</v>
      </c>
      <c r="K59" s="11">
        <f t="shared" ca="1" si="1"/>
        <v>46120.473312499998</v>
      </c>
    </row>
    <row r="60" spans="1:11" x14ac:dyDescent="0.35">
      <c r="A60" s="19" t="s">
        <v>42</v>
      </c>
      <c r="B60" s="19" t="s">
        <v>204</v>
      </c>
      <c r="C60" s="19" t="s">
        <v>47</v>
      </c>
      <c r="D60" s="19" t="s">
        <v>14</v>
      </c>
      <c r="E60" s="20">
        <v>942.49</v>
      </c>
      <c r="F60" s="19">
        <v>8</v>
      </c>
      <c r="G60" s="21">
        <v>0.15</v>
      </c>
      <c r="H60" s="22">
        <v>45704</v>
      </c>
      <c r="I60" s="20">
        <v>282.49</v>
      </c>
      <c r="J60" s="20">
        <v>10167.540000000001</v>
      </c>
      <c r="K60" s="23">
        <f t="shared" ca="1" si="1"/>
        <v>46120.473312499998</v>
      </c>
    </row>
    <row r="61" spans="1:11" x14ac:dyDescent="0.35">
      <c r="A61" s="7" t="s">
        <v>37</v>
      </c>
      <c r="B61" s="7" t="s">
        <v>106</v>
      </c>
      <c r="C61" s="7" t="s">
        <v>32</v>
      </c>
      <c r="D61" s="7" t="s">
        <v>14</v>
      </c>
      <c r="E61" s="8">
        <v>1840.05</v>
      </c>
      <c r="F61" s="7">
        <v>7</v>
      </c>
      <c r="G61" s="9">
        <v>0</v>
      </c>
      <c r="H61" s="10">
        <v>45710</v>
      </c>
      <c r="I61" s="8">
        <v>466.15</v>
      </c>
      <c r="J61" s="8">
        <v>10890.76</v>
      </c>
      <c r="K61" s="11">
        <f t="shared" ca="1" si="1"/>
        <v>46120.473312499998</v>
      </c>
    </row>
    <row r="62" spans="1:11" x14ac:dyDescent="0.35">
      <c r="A62" s="19" t="s">
        <v>42</v>
      </c>
      <c r="B62" s="19" t="s">
        <v>210</v>
      </c>
      <c r="C62" s="19" t="s">
        <v>13</v>
      </c>
      <c r="D62" s="19" t="s">
        <v>41</v>
      </c>
      <c r="E62" s="20">
        <v>1071.8900000000001</v>
      </c>
      <c r="F62" s="19">
        <v>2</v>
      </c>
      <c r="G62" s="21">
        <v>0</v>
      </c>
      <c r="H62" s="22">
        <v>45716</v>
      </c>
      <c r="I62" s="20">
        <v>373.29</v>
      </c>
      <c r="J62" s="20">
        <v>10167.540000000001</v>
      </c>
      <c r="K62" s="23">
        <f t="shared" ca="1" si="1"/>
        <v>46120.473312499998</v>
      </c>
    </row>
    <row r="63" spans="1:11" x14ac:dyDescent="0.35">
      <c r="A63" s="7" t="s">
        <v>42</v>
      </c>
      <c r="B63" s="7" t="s">
        <v>212</v>
      </c>
      <c r="C63" s="7" t="s">
        <v>24</v>
      </c>
      <c r="D63" s="7" t="s">
        <v>51</v>
      </c>
      <c r="E63" s="8">
        <v>1667.33</v>
      </c>
      <c r="F63" s="7">
        <v>9</v>
      </c>
      <c r="G63" s="9">
        <v>0.05</v>
      </c>
      <c r="H63" s="10">
        <v>45717</v>
      </c>
      <c r="I63" s="8">
        <v>891.56</v>
      </c>
      <c r="J63" s="8">
        <v>10167.540000000001</v>
      </c>
      <c r="K63" s="11">
        <f t="shared" ca="1" si="1"/>
        <v>46120.473312499998</v>
      </c>
    </row>
    <row r="64" spans="1:11" x14ac:dyDescent="0.35">
      <c r="A64" s="19" t="s">
        <v>26</v>
      </c>
      <c r="B64" s="19" t="s">
        <v>149</v>
      </c>
      <c r="C64" s="19" t="s">
        <v>13</v>
      </c>
      <c r="D64" s="19" t="s">
        <v>14</v>
      </c>
      <c r="E64" s="20">
        <v>1892.23</v>
      </c>
      <c r="F64" s="19">
        <v>12</v>
      </c>
      <c r="G64" s="21">
        <v>0.2</v>
      </c>
      <c r="H64" s="22">
        <v>45722</v>
      </c>
      <c r="I64" s="20">
        <v>615.99</v>
      </c>
      <c r="J64" s="20">
        <v>11576.38</v>
      </c>
      <c r="K64" s="23">
        <f t="shared" ca="1" si="1"/>
        <v>46120.473312499998</v>
      </c>
    </row>
    <row r="65" spans="1:11" x14ac:dyDescent="0.35">
      <c r="A65" s="7" t="s">
        <v>33</v>
      </c>
      <c r="B65" s="7" t="s">
        <v>218</v>
      </c>
      <c r="C65" s="7" t="s">
        <v>13</v>
      </c>
      <c r="D65" s="7" t="s">
        <v>19</v>
      </c>
      <c r="E65" s="8">
        <v>1432.91</v>
      </c>
      <c r="F65" s="7">
        <v>13</v>
      </c>
      <c r="G65" s="9">
        <v>0.15</v>
      </c>
      <c r="H65" s="10">
        <v>45731</v>
      </c>
      <c r="I65" s="8">
        <v>683.98</v>
      </c>
      <c r="J65" s="8">
        <v>11063.92</v>
      </c>
      <c r="K65" s="11">
        <f t="shared" ca="1" si="1"/>
        <v>46120.473312499998</v>
      </c>
    </row>
    <row r="66" spans="1:11" x14ac:dyDescent="0.35">
      <c r="A66" s="19" t="s">
        <v>26</v>
      </c>
      <c r="B66" s="19" t="s">
        <v>220</v>
      </c>
      <c r="C66" s="19" t="s">
        <v>24</v>
      </c>
      <c r="D66" s="19" t="s">
        <v>19</v>
      </c>
      <c r="E66" s="20">
        <v>715.41</v>
      </c>
      <c r="F66" s="19">
        <v>2</v>
      </c>
      <c r="G66" s="21">
        <v>0</v>
      </c>
      <c r="H66" s="22">
        <v>45735</v>
      </c>
      <c r="I66" s="20">
        <v>302.70999999999998</v>
      </c>
      <c r="J66" s="20">
        <v>11576.38</v>
      </c>
      <c r="K66" s="23">
        <f t="shared" ca="1" si="1"/>
        <v>46120.473312499998</v>
      </c>
    </row>
    <row r="67" spans="1:11" x14ac:dyDescent="0.35">
      <c r="A67" s="7" t="s">
        <v>35</v>
      </c>
      <c r="B67" s="7" t="s">
        <v>223</v>
      </c>
      <c r="C67" s="7" t="s">
        <v>24</v>
      </c>
      <c r="D67" s="7" t="s">
        <v>19</v>
      </c>
      <c r="E67" s="8">
        <v>1139.5</v>
      </c>
      <c r="F67" s="7">
        <v>18</v>
      </c>
      <c r="G67" s="9">
        <v>0</v>
      </c>
      <c r="H67" s="10">
        <v>45740</v>
      </c>
      <c r="I67" s="8">
        <v>515.34</v>
      </c>
      <c r="J67" s="8">
        <v>10564.12</v>
      </c>
      <c r="K67" s="11">
        <f t="shared" ca="1" si="1"/>
        <v>46120.473312499998</v>
      </c>
    </row>
    <row r="68" spans="1:11" x14ac:dyDescent="0.35">
      <c r="A68" s="19" t="s">
        <v>35</v>
      </c>
      <c r="B68" s="19" t="s">
        <v>226</v>
      </c>
      <c r="C68" s="19" t="s">
        <v>13</v>
      </c>
      <c r="D68" s="19" t="s">
        <v>19</v>
      </c>
      <c r="E68" s="20">
        <v>1261.97</v>
      </c>
      <c r="F68" s="19">
        <v>14</v>
      </c>
      <c r="G68" s="21">
        <v>0.05</v>
      </c>
      <c r="H68" s="22">
        <v>45745</v>
      </c>
      <c r="I68" s="20">
        <v>448.46</v>
      </c>
      <c r="J68" s="20">
        <v>10564.12</v>
      </c>
      <c r="K68" s="23">
        <f t="shared" ca="1" si="1"/>
        <v>46120.473312499998</v>
      </c>
    </row>
    <row r="69" spans="1:11" x14ac:dyDescent="0.35">
      <c r="A69" s="7" t="s">
        <v>42</v>
      </c>
      <c r="B69" s="7" t="s">
        <v>228</v>
      </c>
      <c r="C69" s="7" t="s">
        <v>50</v>
      </c>
      <c r="D69" s="7" t="s">
        <v>19</v>
      </c>
      <c r="E69" s="8">
        <v>1239.72</v>
      </c>
      <c r="F69" s="7">
        <v>1</v>
      </c>
      <c r="G69" s="9">
        <v>0.05</v>
      </c>
      <c r="H69" s="10">
        <v>45749</v>
      </c>
      <c r="I69" s="8">
        <v>431.32</v>
      </c>
      <c r="J69" s="8">
        <v>10167.540000000001</v>
      </c>
      <c r="K69" s="11">
        <f t="shared" ca="1" si="1"/>
        <v>46120.473312499998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zoomScaleNormal="100" workbookViewId="0">
      <selection activeCell="C20" sqref="C20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14" customWidth="1"/>
    <col min="4" max="4" width="16" customWidth="1"/>
    <col min="5" max="5" width="14" customWidth="1"/>
    <col min="6" max="6" width="18" customWidth="1"/>
    <col min="7" max="7" width="14" customWidth="1"/>
  </cols>
  <sheetData>
    <row r="3" spans="1:7" x14ac:dyDescent="0.35">
      <c r="A3" s="1" t="s">
        <v>20</v>
      </c>
      <c r="B3" s="75" t="s">
        <v>3</v>
      </c>
      <c r="C3" s="75"/>
      <c r="D3" s="75"/>
      <c r="E3" s="75"/>
      <c r="F3" s="75"/>
    </row>
    <row r="4" spans="1:7" x14ac:dyDescent="0.35">
      <c r="A4" s="24" t="s">
        <v>2</v>
      </c>
      <c r="B4" s="24" t="s">
        <v>14</v>
      </c>
      <c r="C4" s="24" t="s">
        <v>25</v>
      </c>
      <c r="D4" s="24" t="s">
        <v>51</v>
      </c>
      <c r="E4" s="24" t="s">
        <v>19</v>
      </c>
      <c r="F4" s="24" t="s">
        <v>41</v>
      </c>
      <c r="G4" s="25" t="s">
        <v>266</v>
      </c>
    </row>
    <row r="5" spans="1:7" x14ac:dyDescent="0.35">
      <c r="A5" s="26" t="s">
        <v>24</v>
      </c>
      <c r="B5" s="27">
        <f>SUMIFS(Customers_Data!E2:E201,Customers_Data!C2:C201,A5,Customers_Data!D2:D201,B4)</f>
        <v>9657.81</v>
      </c>
      <c r="C5" s="27">
        <f>SUMIFS(Customers_Data!E2:E201,Customers_Data!C2:C201,A5,Customers_Data!D2:D201,C4)</f>
        <v>8650.82</v>
      </c>
      <c r="D5" s="27">
        <f>SUMIFS(Customers_Data!E2:E201,Customers_Data!C2:C201,A5,Customers_Data!D2:D201,D4)</f>
        <v>8712.5499999999993</v>
      </c>
      <c r="E5" s="27">
        <f>SUMIFS(Customers_Data!E2:E201,Customers_Data!C2:C201,A5,Customers_Data!D2:D201,E4)</f>
        <v>10635.84</v>
      </c>
      <c r="F5" s="27">
        <f>SUMIFS(Customers_Data!E2:E201,Customers_Data!C2:C201,A5,Customers_Data!D2:D201,F4)</f>
        <v>5272.9699999999993</v>
      </c>
      <c r="G5" s="28">
        <f>SUM(B5:F5)</f>
        <v>42929.99</v>
      </c>
    </row>
    <row r="6" spans="1:7" x14ac:dyDescent="0.35">
      <c r="A6" s="26" t="s">
        <v>13</v>
      </c>
      <c r="B6" s="13">
        <f>SUMIFS(Customers_Data!E2:E201,Customers_Data!C2:C201,A6,Customers_Data!D2:D201,B4)</f>
        <v>15687.04</v>
      </c>
      <c r="C6" s="13">
        <f>SUMIFS(Customers_Data!E2:E201,Customers_Data!C2:C201,A6,Customers_Data!D2:D201,C4)</f>
        <v>10335.44</v>
      </c>
      <c r="D6" s="13">
        <f>SUMIFS(Customers_Data!E2:E201,Customers_Data!C2:C201,A6,Customers_Data!D2:D201,D4)</f>
        <v>4066.6600000000003</v>
      </c>
      <c r="E6" s="13">
        <f>SUMIFS(Customers_Data!E2:E201,Customers_Data!C2:C201,A6,Customers_Data!D2:D201,E4)</f>
        <v>12439.81</v>
      </c>
      <c r="F6" s="13">
        <f>SUMIFS(Customers_Data!E2:E201,Customers_Data!C2:C201,A6,Customers_Data!D2:D201,F4)</f>
        <v>9646.8799999999992</v>
      </c>
      <c r="G6" s="28">
        <f>SUM(B6:F6)</f>
        <v>52175.83</v>
      </c>
    </row>
    <row r="7" spans="1:7" x14ac:dyDescent="0.35">
      <c r="A7" s="26" t="s">
        <v>32</v>
      </c>
      <c r="B7" s="27">
        <f>SUMIFS(Customers_Data!E2:E201,Customers_Data!C2:C201,A7,Customers_Data!D2:D201,B4)</f>
        <v>9671.2800000000007</v>
      </c>
      <c r="C7" s="27">
        <f>SUMIFS(Customers_Data!E2:E201,Customers_Data!C2:C201,A7,Customers_Data!D2:D201,C4)</f>
        <v>9969.75</v>
      </c>
      <c r="D7" s="27">
        <f>SUMIFS(Customers_Data!E2:E201,Customers_Data!C2:C201,A7,Customers_Data!D2:D201,D4)</f>
        <v>2715.4</v>
      </c>
      <c r="E7" s="27">
        <f>SUMIFS(Customers_Data!E2:E201,Customers_Data!C2:C201,A7,Customers_Data!D2:D201,E4)</f>
        <v>3724.5</v>
      </c>
      <c r="F7" s="27">
        <f>SUMIFS(Customers_Data!E2:E201,Customers_Data!C2:C201,A7,Customers_Data!D2:D201,F4)</f>
        <v>8287.5199999999986</v>
      </c>
      <c r="G7" s="28">
        <f>SUM(B7:F7)</f>
        <v>34368.449999999997</v>
      </c>
    </row>
    <row r="8" spans="1:7" x14ac:dyDescent="0.35">
      <c r="A8" s="26" t="s">
        <v>50</v>
      </c>
      <c r="B8" s="13">
        <f>SUMIFS(Customers_Data!E2:E201,Customers_Data!C2:C201,A8,Customers_Data!D2:D201,B4)</f>
        <v>2218.38</v>
      </c>
      <c r="C8" s="13">
        <f>SUMIFS(Customers_Data!E2:E201,Customers_Data!C2:C201,A8,Customers_Data!D2:D201,C4)</f>
        <v>6421.11</v>
      </c>
      <c r="D8" s="13">
        <f>SUMIFS(Customers_Data!E2:E201,Customers_Data!C2:C201,A8,Customers_Data!D2:D201,D4)</f>
        <v>11505.140000000001</v>
      </c>
      <c r="E8" s="13">
        <f>SUMIFS(Customers_Data!E2:E201,Customers_Data!C2:C201,A8,Customers_Data!D2:D201,E4)</f>
        <v>9037.7099999999991</v>
      </c>
      <c r="F8" s="13">
        <f>SUMIFS(Customers_Data!E2:E201,Customers_Data!C2:C201,A8,Customers_Data!D2:D201,F4)</f>
        <v>5072.9500000000007</v>
      </c>
      <c r="G8" s="28">
        <f>SUM(B8:F8)</f>
        <v>34255.29</v>
      </c>
    </row>
    <row r="9" spans="1:7" x14ac:dyDescent="0.35">
      <c r="A9" s="26" t="s">
        <v>47</v>
      </c>
      <c r="B9" s="27">
        <f>SUMIFS(Customers_Data!E2:E201,Customers_Data!C2:C201,A9,Customers_Data!D2:D201,B4)</f>
        <v>13916.720000000003</v>
      </c>
      <c r="C9" s="27">
        <f>SUMIFS(Customers_Data!E2:E201,Customers_Data!C2:C201,A9,Customers_Data!D2:D201,C4)</f>
        <v>3361.9900000000002</v>
      </c>
      <c r="D9" s="27">
        <f>SUMIFS(Customers_Data!E2:E201,Customers_Data!C2:C201,A9,Customers_Data!D2:D201,D4)</f>
        <v>10096.279999999999</v>
      </c>
      <c r="E9" s="27">
        <f>SUMIFS(Customers_Data!E2:E201,Customers_Data!C2:C201,A9,Customers_Data!D2:D201,E4)</f>
        <v>10054.950000000001</v>
      </c>
      <c r="F9" s="27">
        <f>SUMIFS(Customers_Data!E2:E201,Customers_Data!C2:C201,A9,Customers_Data!D2:D201,F4)</f>
        <v>9065.65</v>
      </c>
      <c r="G9" s="28">
        <f>SUM(B9:F9)</f>
        <v>46495.590000000004</v>
      </c>
    </row>
    <row r="10" spans="1:7" x14ac:dyDescent="0.35">
      <c r="A10" s="25" t="s">
        <v>266</v>
      </c>
      <c r="B10" s="29">
        <f t="shared" ref="B10:G10" si="0">SUM(B5:B9)</f>
        <v>51151.229999999996</v>
      </c>
      <c r="C10" s="29">
        <f t="shared" si="0"/>
        <v>38739.11</v>
      </c>
      <c r="D10" s="29">
        <f t="shared" si="0"/>
        <v>37096.03</v>
      </c>
      <c r="E10" s="29">
        <f t="shared" si="0"/>
        <v>45892.81</v>
      </c>
      <c r="F10" s="29">
        <f t="shared" si="0"/>
        <v>37345.969999999994</v>
      </c>
      <c r="G10" s="29">
        <f t="shared" si="0"/>
        <v>210225.15</v>
      </c>
    </row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V15"/>
  <sheetViews>
    <sheetView zoomScale="66" zoomScaleNormal="66" workbookViewId="0">
      <selection activeCell="E8" sqref="E8"/>
    </sheetView>
  </sheetViews>
  <sheetFormatPr defaultColWidth="8.6328125" defaultRowHeight="14.5" x14ac:dyDescent="0.35"/>
  <cols>
    <col min="1" max="1" width="4.6328125" customWidth="1"/>
    <col min="2" max="2" width="5.6328125" customWidth="1"/>
    <col min="3" max="3" width="6.1796875" customWidth="1"/>
    <col min="4" max="4" width="11" customWidth="1"/>
    <col min="5" max="6" width="14" customWidth="1"/>
    <col min="7" max="7" width="4" customWidth="1"/>
    <col min="9" max="9" width="9.26953125" customWidth="1"/>
    <col min="10" max="10" width="14" customWidth="1"/>
    <col min="11" max="11" width="20.26953125" customWidth="1"/>
    <col min="12" max="12" width="15.81640625" customWidth="1"/>
    <col min="14" max="14" width="8.6328125" customWidth="1"/>
    <col min="16" max="19" width="8.6328125" customWidth="1"/>
    <col min="20" max="20" width="4.7265625" customWidth="1"/>
    <col min="21" max="21" width="19.54296875" customWidth="1"/>
    <col min="22" max="22" width="15.26953125" customWidth="1"/>
  </cols>
  <sheetData>
    <row r="2" spans="4:22" x14ac:dyDescent="0.35">
      <c r="D2" s="50" t="s">
        <v>2</v>
      </c>
      <c r="E2" s="50" t="s">
        <v>20</v>
      </c>
      <c r="K2" s="50" t="s">
        <v>267</v>
      </c>
      <c r="L2" s="50" t="s">
        <v>20</v>
      </c>
      <c r="U2" s="50" t="s">
        <v>3</v>
      </c>
      <c r="V2" s="50" t="s">
        <v>268</v>
      </c>
    </row>
    <row r="3" spans="4:22" x14ac:dyDescent="0.35">
      <c r="D3" s="51" t="s">
        <v>24</v>
      </c>
      <c r="E3" s="54">
        <f>SUMIF(Customers_Data!C2:C201,D3,Customers_Data!E2:E201)</f>
        <v>42929.990000000013</v>
      </c>
      <c r="K3" s="51" t="s">
        <v>269</v>
      </c>
      <c r="L3" s="54">
        <f>SUMPRODUCT((MONTH(Customers_Data!H2:H201)=1)*(YEAR(Customers_Data!H2:H201)&gt;=2024)*Customers_Data!E2:E201)</f>
        <v>13185.039999999999</v>
      </c>
      <c r="U3" s="51" t="s">
        <v>14</v>
      </c>
      <c r="V3" s="51">
        <f>COUNTIF(Customers_Data!D2:D201,U3)</f>
        <v>45</v>
      </c>
    </row>
    <row r="4" spans="4:22" x14ac:dyDescent="0.35">
      <c r="D4" s="51" t="s">
        <v>13</v>
      </c>
      <c r="E4" s="54">
        <f>SUMIF(Customers_Data!C2:C201,D4,Customers_Data!E2:E201)</f>
        <v>52175.829999999994</v>
      </c>
      <c r="K4" s="51" t="s">
        <v>270</v>
      </c>
      <c r="L4" s="54">
        <f>SUMPRODUCT((MONTH(Customers_Data!H2:H201)=2)*(YEAR(Customers_Data!H2:H201)&gt;=2024)*Customers_Data!E2:E201)</f>
        <v>24426.569999999996</v>
      </c>
      <c r="U4" s="51" t="s">
        <v>25</v>
      </c>
      <c r="V4" s="51">
        <f>COUNTIF(Customers_Data!D2:D201,U4)</f>
        <v>40</v>
      </c>
    </row>
    <row r="5" spans="4:22" x14ac:dyDescent="0.35">
      <c r="D5" s="51" t="s">
        <v>32</v>
      </c>
      <c r="E5" s="54">
        <f>SUMIF(Customers_Data!C2:C201,D5,Customers_Data!E2:E201)</f>
        <v>34368.449999999997</v>
      </c>
      <c r="K5" s="51" t="s">
        <v>271</v>
      </c>
      <c r="L5" s="54">
        <f>SUMPRODUCT((MONTH(Customers_Data!H2:H201)=3)*(YEAR(Customers_Data!H2:H201)&gt;=2024)*Customers_Data!E2:E201)</f>
        <v>22048.98</v>
      </c>
      <c r="U5" s="51" t="s">
        <v>51</v>
      </c>
      <c r="V5" s="51">
        <f>COUNTIF(Customers_Data!D2:D201,U5)</f>
        <v>31</v>
      </c>
    </row>
    <row r="6" spans="4:22" x14ac:dyDescent="0.35">
      <c r="D6" s="51" t="s">
        <v>50</v>
      </c>
      <c r="E6" s="54">
        <f>SUMIF(Customers_Data!C2:C201,D6,Customers_Data!E2:E201)</f>
        <v>34255.29</v>
      </c>
      <c r="K6" s="51" t="s">
        <v>272</v>
      </c>
      <c r="L6" s="54">
        <f>SUMPRODUCT((MONTH(Customers_Data!H2:H201)=4)*(YEAR(Customers_Data!H2:H201)&gt;=2024)*Customers_Data!E2:E201)</f>
        <v>11185.24</v>
      </c>
      <c r="U6" s="51" t="s">
        <v>19</v>
      </c>
      <c r="V6" s="51">
        <f>COUNTIF(Customers_Data!D2:D201,U6)</f>
        <v>42</v>
      </c>
    </row>
    <row r="7" spans="4:22" x14ac:dyDescent="0.35">
      <c r="D7" s="51" t="s">
        <v>47</v>
      </c>
      <c r="E7" s="54">
        <f>SUMIF(Customers_Data!C2:C201,D7,Customers_Data!E2:E201)</f>
        <v>46495.590000000004</v>
      </c>
      <c r="K7" s="51" t="s">
        <v>273</v>
      </c>
      <c r="L7" s="54">
        <f>SUMPRODUCT((MONTH(Customers_Data!H2:H201)=5)*(YEAR(Customers_Data!H2:H201)&gt;=2024)*Customers_Data!E2:E201)</f>
        <v>14571.73</v>
      </c>
      <c r="U7" s="51" t="s">
        <v>41</v>
      </c>
      <c r="V7" s="51">
        <f>COUNTIF(Customers_Data!D2:D201,U7)</f>
        <v>42</v>
      </c>
    </row>
    <row r="8" spans="4:22" x14ac:dyDescent="0.35">
      <c r="D8" s="52" t="s">
        <v>266</v>
      </c>
      <c r="E8" s="55">
        <f>SUM(E3:E7)</f>
        <v>210225.15</v>
      </c>
      <c r="K8" s="51" t="s">
        <v>274</v>
      </c>
      <c r="L8" s="54">
        <f>SUMPRODUCT((MONTH(Customers_Data!H2:H201)=6)*(YEAR(Customers_Data!H2:H201)&gt;=2024)*Customers_Data!E2:E201)</f>
        <v>19085.34</v>
      </c>
      <c r="U8" s="52" t="s">
        <v>266</v>
      </c>
      <c r="V8" s="53">
        <f>SUM(V3:V7)</f>
        <v>200</v>
      </c>
    </row>
    <row r="9" spans="4:22" x14ac:dyDescent="0.35">
      <c r="K9" s="51" t="s">
        <v>275</v>
      </c>
      <c r="L9" s="54">
        <f>SUMPRODUCT((MONTH(Customers_Data!H2:H201)=7)*(YEAR(Customers_Data!H2:H201)&gt;=2024)*Customers_Data!E2:E201)</f>
        <v>19702.260000000002</v>
      </c>
    </row>
    <row r="10" spans="4:22" x14ac:dyDescent="0.35">
      <c r="K10" s="51" t="s">
        <v>276</v>
      </c>
      <c r="L10" s="54">
        <f>SUMPRODUCT((MONTH(Customers_Data!H2:H201)=8)*(YEAR(Customers_Data!H2:H201)&gt;=2024)*Customers_Data!E2:E201)</f>
        <v>16260.43</v>
      </c>
    </row>
    <row r="11" spans="4:22" x14ac:dyDescent="0.35">
      <c r="K11" s="51" t="s">
        <v>277</v>
      </c>
      <c r="L11" s="54">
        <f>SUMPRODUCT((MONTH(Customers_Data!H2:H201)=9)*(YEAR(Customers_Data!H2:H201)&gt;=2024)*Customers_Data!E2:E201)</f>
        <v>22490.74</v>
      </c>
    </row>
    <row r="12" spans="4:22" x14ac:dyDescent="0.35">
      <c r="K12" s="51" t="s">
        <v>278</v>
      </c>
      <c r="L12" s="54">
        <f>SUMPRODUCT((MONTH(Customers_Data!H2:H201)=10)*(YEAR(Customers_Data!H2:H201)&gt;=2024)*Customers_Data!E2:E201)</f>
        <v>11800.11</v>
      </c>
    </row>
    <row r="13" spans="4:22" x14ac:dyDescent="0.35">
      <c r="K13" s="51" t="s">
        <v>279</v>
      </c>
      <c r="L13" s="54">
        <f>SUMPRODUCT((MONTH(Customers_Data!H2:H201)=11)*(YEAR(Customers_Data!H2:H201)&gt;=2024)*Customers_Data!E2:E201)</f>
        <v>20350.45</v>
      </c>
    </row>
    <row r="14" spans="4:22" x14ac:dyDescent="0.35">
      <c r="K14" s="51" t="s">
        <v>280</v>
      </c>
      <c r="L14" s="54">
        <f>SUMPRODUCT((MONTH(Customers_Data!H2:H201)=12)*(YEAR(Customers_Data!H2:H201)&gt;=2024)*Customers_Data!E2:E201)</f>
        <v>15118.259999999998</v>
      </c>
    </row>
    <row r="15" spans="4:22" x14ac:dyDescent="0.35">
      <c r="K15" s="52" t="s">
        <v>266</v>
      </c>
      <c r="L15" s="55">
        <f>SUM(L3:L14)</f>
        <v>210225.15000000002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4"/>
  <sheetViews>
    <sheetView showGridLines="0" tabSelected="1" topLeftCell="A21" zoomScale="70" zoomScaleNormal="70" workbookViewId="0">
      <selection activeCell="K9" sqref="K9"/>
    </sheetView>
  </sheetViews>
  <sheetFormatPr defaultColWidth="8.6328125" defaultRowHeight="14.5" x14ac:dyDescent="0.35"/>
  <cols>
    <col min="1" max="1" width="2" customWidth="1"/>
    <col min="2" max="2" width="16" customWidth="1"/>
    <col min="3" max="3" width="2" customWidth="1"/>
    <col min="4" max="4" width="18" customWidth="1"/>
    <col min="5" max="5" width="2" customWidth="1"/>
    <col min="6" max="6" width="16" customWidth="1"/>
    <col min="7" max="7" width="2" customWidth="1"/>
    <col min="8" max="8" width="20" customWidth="1"/>
    <col min="9" max="10" width="2" customWidth="1"/>
  </cols>
  <sheetData>
    <row r="1" spans="2:15" ht="21.75" customHeight="1" x14ac:dyDescent="0.35"/>
    <row r="2" spans="2:15" ht="21.75" customHeight="1" x14ac:dyDescent="0.35">
      <c r="B2" s="76" t="s">
        <v>281</v>
      </c>
      <c r="C2" s="76"/>
      <c r="D2" s="76"/>
      <c r="E2" s="76"/>
      <c r="F2" s="76"/>
      <c r="G2" s="76"/>
      <c r="H2" s="76"/>
      <c r="I2" s="76"/>
      <c r="J2" s="76"/>
    </row>
    <row r="3" spans="2:15" ht="21.75" customHeight="1" x14ac:dyDescent="0.35"/>
    <row r="4" spans="2:15" ht="21.75" customHeight="1" x14ac:dyDescent="0.35">
      <c r="B4" s="30" t="s">
        <v>282</v>
      </c>
      <c r="D4" s="31" t="s">
        <v>283</v>
      </c>
      <c r="F4" s="32" t="s">
        <v>284</v>
      </c>
      <c r="H4" s="33" t="s">
        <v>285</v>
      </c>
    </row>
    <row r="5" spans="2:15" ht="21.75" customHeight="1" x14ac:dyDescent="0.35">
      <c r="B5" s="34">
        <f>SUM(Customers_Data!E2:E201)</f>
        <v>210225.14999999994</v>
      </c>
      <c r="D5" s="35">
        <f>SUM(Customers_Data!J2:J201)</f>
        <v>1581429.9600000002</v>
      </c>
      <c r="F5" s="36">
        <f>COUNTA(Customers_Data!A2:A201)</f>
        <v>200</v>
      </c>
      <c r="H5" s="37" t="str">
        <f>INDEX(Customers_Data!B2:B201,MATCH(MAX(Customers_Data!J2:J201),Customers_Data!J2:J201,0))</f>
        <v>Rahul Joshi</v>
      </c>
      <c r="O5" s="56"/>
    </row>
    <row r="6" spans="2:15" ht="21.75" customHeight="1" x14ac:dyDescent="0.35"/>
    <row r="7" spans="2:15" ht="21.75" customHeight="1" x14ac:dyDescent="0.35">
      <c r="B7" s="38" t="s">
        <v>286</v>
      </c>
      <c r="D7" s="38" t="s">
        <v>287</v>
      </c>
      <c r="F7" s="38" t="s">
        <v>288</v>
      </c>
      <c r="H7" s="57" t="s">
        <v>289</v>
      </c>
    </row>
    <row r="8" spans="2:15" ht="21.75" customHeight="1" x14ac:dyDescent="0.35">
      <c r="B8" s="39">
        <f>AVERAGE(Customers_Data!E2:E201)</f>
        <v>1051.1257499999997</v>
      </c>
      <c r="D8" s="39">
        <f>MAX(Table1[Total_Purchase])</f>
        <v>11576.38</v>
      </c>
      <c r="F8" s="40">
        <f>COUNTA(Customers_Data!A2:A201)</f>
        <v>200</v>
      </c>
      <c r="H8" s="41">
        <f>SUM(Customers_Data!I2:I201)/SUM(Customers_Data!E2:E201)</f>
        <v>0.36940304240477445</v>
      </c>
    </row>
    <row r="9" spans="2:15" ht="21.75" customHeight="1" x14ac:dyDescent="0.35"/>
    <row r="10" spans="2:15" ht="21.75" customHeight="1" x14ac:dyDescent="0.35">
      <c r="B10" s="42"/>
      <c r="G10" s="42"/>
    </row>
    <row r="11" spans="2:15" ht="21.75" customHeight="1" x14ac:dyDescent="0.35"/>
    <row r="12" spans="2:15" ht="21.75" customHeight="1" x14ac:dyDescent="0.35"/>
    <row r="13" spans="2:15" ht="21.75" customHeight="1" x14ac:dyDescent="0.35"/>
    <row r="14" spans="2:15" ht="21.75" customHeight="1" x14ac:dyDescent="0.35"/>
    <row r="15" spans="2:15" ht="21.75" customHeight="1" x14ac:dyDescent="0.35"/>
    <row r="16" spans="2:15" ht="21.75" customHeight="1" x14ac:dyDescent="0.35"/>
    <row r="17" ht="21.75" customHeight="1" x14ac:dyDescent="0.35"/>
    <row r="18" ht="21.75" customHeight="1" x14ac:dyDescent="0.35"/>
    <row r="19" ht="21.75" customHeight="1" x14ac:dyDescent="0.35"/>
    <row r="20" ht="21.75" customHeight="1" x14ac:dyDescent="0.35"/>
    <row r="21" ht="21.75" customHeight="1" x14ac:dyDescent="0.35"/>
    <row r="22" ht="21.75" customHeight="1" x14ac:dyDescent="0.35"/>
    <row r="23" ht="21.75" customHeight="1" x14ac:dyDescent="0.35"/>
    <row r="24" ht="21.75" customHeight="1" x14ac:dyDescent="0.35"/>
    <row r="25" ht="21.75" customHeight="1" x14ac:dyDescent="0.35"/>
    <row r="26" ht="21.75" customHeight="1" x14ac:dyDescent="0.35"/>
    <row r="27" ht="21.75" customHeight="1" x14ac:dyDescent="0.35"/>
    <row r="28" ht="21.75" customHeight="1" x14ac:dyDescent="0.35"/>
    <row r="29" ht="21.75" customHeight="1" x14ac:dyDescent="0.35"/>
    <row r="30" ht="21.75" customHeight="1" x14ac:dyDescent="0.35"/>
    <row r="31" ht="21.75" customHeight="1" x14ac:dyDescent="0.35"/>
    <row r="32" ht="21.75" customHeight="1" x14ac:dyDescent="0.35"/>
    <row r="33" ht="21.75" customHeight="1" x14ac:dyDescent="0.35"/>
    <row r="34" ht="21.75" customHeight="1" x14ac:dyDescent="0.35"/>
    <row r="35" ht="21.75" customHeight="1" x14ac:dyDescent="0.35"/>
    <row r="36" ht="21.75" customHeight="1" x14ac:dyDescent="0.35"/>
    <row r="37" ht="21.75" customHeight="1" x14ac:dyDescent="0.35"/>
    <row r="38" ht="21.75" customHeight="1" x14ac:dyDescent="0.35"/>
    <row r="39" ht="21.75" customHeight="1" x14ac:dyDescent="0.35"/>
    <row r="40" ht="21.75" customHeight="1" x14ac:dyDescent="0.35"/>
    <row r="41" ht="21.75" customHeight="1" x14ac:dyDescent="0.35"/>
    <row r="42" ht="21.75" customHeight="1" x14ac:dyDescent="0.35"/>
    <row r="43" ht="21.75" customHeight="1" x14ac:dyDescent="0.35"/>
    <row r="44" ht="21.75" customHeight="1" x14ac:dyDescent="0.35"/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Customers_Data</vt:lpstr>
      <vt:lpstr>Scenario Summary</vt:lpstr>
      <vt:lpstr>Descriptive_Statistics</vt:lpstr>
      <vt:lpstr>Monthly_Sales</vt:lpstr>
      <vt:lpstr>High_value_Customers</vt:lpstr>
      <vt:lpstr>Pivot_Table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2026-04-07T05:19:46Z</dcterms:created>
  <dcterms:modified xsi:type="dcterms:W3CDTF">2026-04-08T05:52:01Z</dcterms:modified>
  <dc:language>en-US</dc:language>
</cp:coreProperties>
</file>