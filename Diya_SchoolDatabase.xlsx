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6380" windowHeight="8190" tabRatio="500" firstSheet="1" activeTab="5"/>
  </bookViews>
  <sheets>
    <sheet name="Student Data" sheetId="1" r:id="rId1"/>
    <sheet name="Formulas" sheetId="2" r:id="rId2"/>
    <sheet name="Conditional Formatting" sheetId="4" r:id="rId3"/>
    <sheet name="Charts" sheetId="5" r:id="rId4"/>
    <sheet name="Table" sheetId="6" r:id="rId5"/>
    <sheet name="Dashboard" sheetId="3" r:id="rId6"/>
  </sheets>
  <definedNames>
    <definedName name="_xlnm._FilterDatabase" localSheetId="0" hidden="1">'Student Data'!$A$2:$M$52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9" i="6" l="1"/>
  <c r="I9" i="6"/>
  <c r="H9" i="6"/>
  <c r="K9" i="6" s="1"/>
  <c r="D9" i="6"/>
  <c r="C9" i="6"/>
  <c r="B9" i="6"/>
  <c r="E9" i="6" s="1"/>
  <c r="J8" i="6"/>
  <c r="I8" i="6"/>
  <c r="H8" i="6"/>
  <c r="K8" i="6" s="1"/>
  <c r="D8" i="6"/>
  <c r="C8" i="6"/>
  <c r="B8" i="6"/>
  <c r="E8" i="6" s="1"/>
  <c r="J7" i="6"/>
  <c r="I7" i="6"/>
  <c r="H7" i="6"/>
  <c r="K7" i="6" s="1"/>
  <c r="D7" i="6"/>
  <c r="C7" i="6"/>
  <c r="B7" i="6"/>
  <c r="E7" i="6" s="1"/>
  <c r="J6" i="6"/>
  <c r="I6" i="6"/>
  <c r="H6" i="6"/>
  <c r="K6" i="6" s="1"/>
  <c r="D6" i="6"/>
  <c r="C6" i="6"/>
  <c r="B6" i="6"/>
  <c r="E6" i="6" s="1"/>
  <c r="J5" i="6"/>
  <c r="J10" i="6" s="1"/>
  <c r="I5" i="6"/>
  <c r="I10" i="6" s="1"/>
  <c r="H5" i="6"/>
  <c r="K5" i="6" s="1"/>
  <c r="K10" i="6" s="1"/>
  <c r="D5" i="6"/>
  <c r="D10" i="6" s="1"/>
  <c r="C5" i="6"/>
  <c r="C10" i="6" s="1"/>
  <c r="B5" i="6"/>
  <c r="E5" i="6" s="1"/>
  <c r="E10" i="6" s="1"/>
  <c r="B23" i="5"/>
  <c r="B22" i="5"/>
  <c r="B21" i="5"/>
  <c r="C8" i="5"/>
  <c r="B8" i="5"/>
  <c r="C7" i="5"/>
  <c r="B7" i="5"/>
  <c r="C6" i="5"/>
  <c r="B6" i="5"/>
  <c r="C5" i="5"/>
  <c r="B5" i="5"/>
  <c r="C4" i="5"/>
  <c r="B4" i="5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H33" i="4"/>
  <c r="G33" i="4"/>
  <c r="H32" i="4"/>
  <c r="G32" i="4"/>
  <c r="H31" i="4"/>
  <c r="G31" i="4"/>
  <c r="H30" i="4"/>
  <c r="G30" i="4"/>
  <c r="H29" i="4"/>
  <c r="G29" i="4"/>
  <c r="H28" i="4"/>
  <c r="G28" i="4"/>
  <c r="H27" i="4"/>
  <c r="G27" i="4"/>
  <c r="H26" i="4"/>
  <c r="G26" i="4"/>
  <c r="H25" i="4"/>
  <c r="G25" i="4"/>
  <c r="H24" i="4"/>
  <c r="G24" i="4"/>
  <c r="H23" i="4"/>
  <c r="G23" i="4"/>
  <c r="H22" i="4"/>
  <c r="G22" i="4"/>
  <c r="H21" i="4"/>
  <c r="G21" i="4"/>
  <c r="H20" i="4"/>
  <c r="G20" i="4"/>
  <c r="H19" i="4"/>
  <c r="G19" i="4"/>
  <c r="H18" i="4"/>
  <c r="G18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H4" i="4"/>
  <c r="G4" i="4"/>
  <c r="H3" i="4"/>
  <c r="G3" i="4"/>
  <c r="E13" i="3"/>
  <c r="D13" i="3"/>
  <c r="C13" i="3"/>
  <c r="B13" i="3"/>
  <c r="E12" i="3"/>
  <c r="D12" i="3"/>
  <c r="C12" i="3"/>
  <c r="B12" i="3"/>
  <c r="I11" i="3"/>
  <c r="H11" i="3"/>
  <c r="E11" i="3"/>
  <c r="D11" i="3"/>
  <c r="C11" i="3"/>
  <c r="B11" i="3"/>
  <c r="I10" i="3"/>
  <c r="H10" i="3"/>
  <c r="E10" i="3"/>
  <c r="D10" i="3"/>
  <c r="C10" i="3"/>
  <c r="B10" i="3"/>
  <c r="I9" i="3"/>
  <c r="H9" i="3"/>
  <c r="E9" i="3"/>
  <c r="D9" i="3"/>
  <c r="C9" i="3"/>
  <c r="B9" i="3"/>
  <c r="G4" i="3"/>
  <c r="E4" i="3"/>
  <c r="C4" i="3"/>
  <c r="A4" i="3"/>
  <c r="B58" i="2"/>
  <c r="B52" i="2"/>
  <c r="B51" i="2"/>
  <c r="B50" i="2"/>
  <c r="B49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C92" i="2" s="1"/>
  <c r="G34" i="2"/>
  <c r="H33" i="2"/>
  <c r="C91" i="2" s="1"/>
  <c r="G33" i="2"/>
  <c r="H32" i="2"/>
  <c r="C90" i="2" s="1"/>
  <c r="G32" i="2"/>
  <c r="H31" i="2"/>
  <c r="C89" i="2" s="1"/>
  <c r="G31" i="2"/>
  <c r="H30" i="2"/>
  <c r="C88" i="2" s="1"/>
  <c r="G30" i="2"/>
  <c r="H29" i="2"/>
  <c r="C87" i="2" s="1"/>
  <c r="G29" i="2"/>
  <c r="H28" i="2"/>
  <c r="C86" i="2" s="1"/>
  <c r="G28" i="2"/>
  <c r="H27" i="2"/>
  <c r="C85" i="2" s="1"/>
  <c r="G27" i="2"/>
  <c r="H26" i="2"/>
  <c r="C84" i="2" s="1"/>
  <c r="G26" i="2"/>
  <c r="H25" i="2"/>
  <c r="C83" i="2" s="1"/>
  <c r="G25" i="2"/>
  <c r="H24" i="2"/>
  <c r="C82" i="2" s="1"/>
  <c r="G24" i="2"/>
  <c r="H23" i="2"/>
  <c r="C81" i="2" s="1"/>
  <c r="G23" i="2"/>
  <c r="H22" i="2"/>
  <c r="C80" i="2" s="1"/>
  <c r="G22" i="2"/>
  <c r="H21" i="2"/>
  <c r="C79" i="2" s="1"/>
  <c r="G21" i="2"/>
  <c r="H20" i="2"/>
  <c r="C78" i="2" s="1"/>
  <c r="G20" i="2"/>
  <c r="H19" i="2"/>
  <c r="C77" i="2" s="1"/>
  <c r="G19" i="2"/>
  <c r="H18" i="2"/>
  <c r="C76" i="2" s="1"/>
  <c r="G18" i="2"/>
  <c r="H17" i="2"/>
  <c r="C75" i="2" s="1"/>
  <c r="G17" i="2"/>
  <c r="H16" i="2"/>
  <c r="C74" i="2" s="1"/>
  <c r="G16" i="2"/>
  <c r="H15" i="2"/>
  <c r="C73" i="2" s="1"/>
  <c r="G15" i="2"/>
  <c r="H14" i="2"/>
  <c r="C72" i="2" s="1"/>
  <c r="G14" i="2"/>
  <c r="H13" i="2"/>
  <c r="C71" i="2" s="1"/>
  <c r="G13" i="2"/>
  <c r="H12" i="2"/>
  <c r="C70" i="2" s="1"/>
  <c r="G12" i="2"/>
  <c r="H11" i="2"/>
  <c r="C69" i="2" s="1"/>
  <c r="G11" i="2"/>
  <c r="H10" i="2"/>
  <c r="C68" i="2" s="1"/>
  <c r="G10" i="2"/>
  <c r="H9" i="2"/>
  <c r="C67" i="2" s="1"/>
  <c r="G9" i="2"/>
  <c r="H8" i="2"/>
  <c r="C66" i="2" s="1"/>
  <c r="G8" i="2"/>
  <c r="H7" i="2"/>
  <c r="C65" i="2" s="1"/>
  <c r="G7" i="2"/>
  <c r="H6" i="2"/>
  <c r="C64" i="2" s="1"/>
  <c r="G6" i="2"/>
  <c r="H5" i="2"/>
  <c r="B53" i="2" s="1"/>
  <c r="G5" i="2"/>
  <c r="E65" i="2" l="1"/>
  <c r="F65" i="2"/>
  <c r="D65" i="2"/>
  <c r="E71" i="2"/>
  <c r="F71" i="2"/>
  <c r="D71" i="2"/>
  <c r="E75" i="2"/>
  <c r="F75" i="2"/>
  <c r="D75" i="2"/>
  <c r="E77" i="2"/>
  <c r="F77" i="2"/>
  <c r="D77" i="2"/>
  <c r="E81" i="2"/>
  <c r="F81" i="2"/>
  <c r="D81" i="2"/>
  <c r="E87" i="2"/>
  <c r="F87" i="2"/>
  <c r="D87" i="2"/>
  <c r="E89" i="2"/>
  <c r="F89" i="2"/>
  <c r="D89" i="2"/>
  <c r="E64" i="2"/>
  <c r="F64" i="2"/>
  <c r="D64" i="2"/>
  <c r="E66" i="2"/>
  <c r="F66" i="2"/>
  <c r="D66" i="2"/>
  <c r="E72" i="2"/>
  <c r="F72" i="2"/>
  <c r="D72" i="2"/>
  <c r="E76" i="2"/>
  <c r="F76" i="2"/>
  <c r="D76" i="2"/>
  <c r="E78" i="2"/>
  <c r="F78" i="2"/>
  <c r="D78" i="2"/>
  <c r="E84" i="2"/>
  <c r="F84" i="2"/>
  <c r="D84" i="2"/>
  <c r="E86" i="2"/>
  <c r="F86" i="2"/>
  <c r="D86" i="2"/>
  <c r="E92" i="2"/>
  <c r="F92" i="2"/>
  <c r="D92" i="2"/>
  <c r="E68" i="2"/>
  <c r="F68" i="2"/>
  <c r="D68" i="2"/>
  <c r="E70" i="2"/>
  <c r="F70" i="2"/>
  <c r="D70" i="2"/>
  <c r="E74" i="2"/>
  <c r="F74" i="2"/>
  <c r="D74" i="2"/>
  <c r="E80" i="2"/>
  <c r="F80" i="2"/>
  <c r="D80" i="2"/>
  <c r="E82" i="2"/>
  <c r="F82" i="2"/>
  <c r="D82" i="2"/>
  <c r="E88" i="2"/>
  <c r="F88" i="2"/>
  <c r="D88" i="2"/>
  <c r="E90" i="2"/>
  <c r="F90" i="2"/>
  <c r="D90" i="2"/>
  <c r="E67" i="2"/>
  <c r="F67" i="2"/>
  <c r="D67" i="2"/>
  <c r="E69" i="2"/>
  <c r="F69" i="2"/>
  <c r="D69" i="2"/>
  <c r="E73" i="2"/>
  <c r="F73" i="2"/>
  <c r="D73" i="2"/>
  <c r="E79" i="2"/>
  <c r="F79" i="2"/>
  <c r="D79" i="2"/>
  <c r="E83" i="2"/>
  <c r="F83" i="2"/>
  <c r="D83" i="2"/>
  <c r="E85" i="2"/>
  <c r="F85" i="2"/>
  <c r="D85" i="2"/>
  <c r="E91" i="2"/>
  <c r="F91" i="2"/>
  <c r="D91" i="2"/>
  <c r="B10" i="6"/>
  <c r="H10" i="6"/>
  <c r="C63" i="2"/>
  <c r="E63" i="2" l="1"/>
  <c r="F63" i="2"/>
  <c r="D63" i="2"/>
</calcChain>
</file>

<file path=xl/sharedStrings.xml><?xml version="1.0" encoding="utf-8"?>
<sst xmlns="http://schemas.openxmlformats.org/spreadsheetml/2006/main" count="629" uniqueCount="204">
  <si>
    <t>SUNSHINE PUBLIC SCHOOL  –  Student Database  |  2024-25</t>
  </si>
  <si>
    <t>Student ID</t>
  </si>
  <si>
    <t>First Name</t>
  </si>
  <si>
    <t>Last Name</t>
  </si>
  <si>
    <t>Date of Birth</t>
  </si>
  <si>
    <t>Gender</t>
  </si>
  <si>
    <t>Grade</t>
  </si>
  <si>
    <t>Section</t>
  </si>
  <si>
    <t>Math</t>
  </si>
  <si>
    <t>Science</t>
  </si>
  <si>
    <t>English</t>
  </si>
  <si>
    <t>Hindi</t>
  </si>
  <si>
    <t>Attendance %</t>
  </si>
  <si>
    <t>Fee Status</t>
  </si>
  <si>
    <t>SCH2024001</t>
  </si>
  <si>
    <t>Ishaan</t>
  </si>
  <si>
    <t>Reddy</t>
  </si>
  <si>
    <t>M</t>
  </si>
  <si>
    <t>C</t>
  </si>
  <si>
    <t>Paid</t>
  </si>
  <si>
    <t>SCH2024002</t>
  </si>
  <si>
    <t>Tanya</t>
  </si>
  <si>
    <t>Verma</t>
  </si>
  <si>
    <t>F</t>
  </si>
  <si>
    <t>B</t>
  </si>
  <si>
    <t>Pending</t>
  </si>
  <si>
    <t>SCH2024003</t>
  </si>
  <si>
    <t>Gupta</t>
  </si>
  <si>
    <t>Partial</t>
  </si>
  <si>
    <t>SCH2024004</t>
  </si>
  <si>
    <t>Ananya</t>
  </si>
  <si>
    <t>Chopra</t>
  </si>
  <si>
    <t>SCH2024005</t>
  </si>
  <si>
    <t>Rahul</t>
  </si>
  <si>
    <t>Khanna</t>
  </si>
  <si>
    <t>SCH2024006</t>
  </si>
  <si>
    <t>Kriti</t>
  </si>
  <si>
    <t>Bose</t>
  </si>
  <si>
    <t>SCH2024007</t>
  </si>
  <si>
    <t>Varun</t>
  </si>
  <si>
    <t>SCH2024008</t>
  </si>
  <si>
    <t>Shreya</t>
  </si>
  <si>
    <t>Malhotra</t>
  </si>
  <si>
    <t>SCH2024009</t>
  </si>
  <si>
    <t>Kunal</t>
  </si>
  <si>
    <t>Mehta</t>
  </si>
  <si>
    <t>SCH2024010</t>
  </si>
  <si>
    <t>Tiwari</t>
  </si>
  <si>
    <t>SCH2024011</t>
  </si>
  <si>
    <t>Arjun</t>
  </si>
  <si>
    <t>A</t>
  </si>
  <si>
    <t>SCH2024012</t>
  </si>
  <si>
    <t>Diya</t>
  </si>
  <si>
    <t>Nair</t>
  </si>
  <si>
    <t>SCH2024013</t>
  </si>
  <si>
    <t>Dhruv</t>
  </si>
  <si>
    <t>Agarwal</t>
  </si>
  <si>
    <t>SCH2024014</t>
  </si>
  <si>
    <t>Divya</t>
  </si>
  <si>
    <t>SCH2024015</t>
  </si>
  <si>
    <t>Pranav</t>
  </si>
  <si>
    <t>Mishra</t>
  </si>
  <si>
    <t>SCH2024016</t>
  </si>
  <si>
    <t>Jhanvi</t>
  </si>
  <si>
    <t>Joshi</t>
  </si>
  <si>
    <t>SCH2024017</t>
  </si>
  <si>
    <t>Yadav</t>
  </si>
  <si>
    <t>SCH2024018</t>
  </si>
  <si>
    <t>Neha</t>
  </si>
  <si>
    <t>Shah</t>
  </si>
  <si>
    <t>SCH2024019</t>
  </si>
  <si>
    <t>Aarav</t>
  </si>
  <si>
    <t>Singh</t>
  </si>
  <si>
    <t>SCH2024020</t>
  </si>
  <si>
    <t>SCH2024021</t>
  </si>
  <si>
    <t>SCH2024022</t>
  </si>
  <si>
    <t>Aarohi</t>
  </si>
  <si>
    <t>SCH2024023</t>
  </si>
  <si>
    <t>Yash</t>
  </si>
  <si>
    <t>SCH2024024</t>
  </si>
  <si>
    <t>SCH2024025</t>
  </si>
  <si>
    <t>Mohit</t>
  </si>
  <si>
    <t>Pandey</t>
  </si>
  <si>
    <t>SCH2024026</t>
  </si>
  <si>
    <t>Ishita</t>
  </si>
  <si>
    <t>SCH2024027</t>
  </si>
  <si>
    <t>Parth</t>
  </si>
  <si>
    <t>Banerjee</t>
  </si>
  <si>
    <t>SCH2024028</t>
  </si>
  <si>
    <t>SCH2024029</t>
  </si>
  <si>
    <t>Nikhil</t>
  </si>
  <si>
    <t>SCH2024030</t>
  </si>
  <si>
    <t>SCH2024031</t>
  </si>
  <si>
    <t>SCH2024032</t>
  </si>
  <si>
    <t>SCH2024033</t>
  </si>
  <si>
    <t>SCH2024034</t>
  </si>
  <si>
    <t>SCH2024035</t>
  </si>
  <si>
    <t>SCH2024036</t>
  </si>
  <si>
    <t>SCH2024037</t>
  </si>
  <si>
    <t>SCH2024038</t>
  </si>
  <si>
    <t>SCH2024039</t>
  </si>
  <si>
    <t>Patel</t>
  </si>
  <si>
    <t>SCH2024040</t>
  </si>
  <si>
    <t>SCH2024041</t>
  </si>
  <si>
    <t>SCH2024042</t>
  </si>
  <si>
    <t>Aditi</t>
  </si>
  <si>
    <t>SCH2024043</t>
  </si>
  <si>
    <t>Vivek</t>
  </si>
  <si>
    <t>SCH2024044</t>
  </si>
  <si>
    <t>Mahi</t>
  </si>
  <si>
    <t>SCH2024045</t>
  </si>
  <si>
    <t>Rohan</t>
  </si>
  <si>
    <t>SCH2024046</t>
  </si>
  <si>
    <t>Meera</t>
  </si>
  <si>
    <t>SCH2024047</t>
  </si>
  <si>
    <t>Akash</t>
  </si>
  <si>
    <t>SCH2024048</t>
  </si>
  <si>
    <t>SCH2024049</t>
  </si>
  <si>
    <t>SCH2024050</t>
  </si>
  <si>
    <t>Simran</t>
  </si>
  <si>
    <t>Name</t>
  </si>
  <si>
    <t>Total</t>
  </si>
  <si>
    <t>Percentage</t>
  </si>
  <si>
    <t>Ishaan Reddy</t>
  </si>
  <si>
    <t>Tanya Verma</t>
  </si>
  <si>
    <t>Ishaan Gupta</t>
  </si>
  <si>
    <t>Ananya Chopra</t>
  </si>
  <si>
    <t>Rahul Khanna</t>
  </si>
  <si>
    <t>Kriti Bose</t>
  </si>
  <si>
    <t>Varun Verma</t>
  </si>
  <si>
    <t>Shreya Malhotra</t>
  </si>
  <si>
    <t>Kunal Mehta</t>
  </si>
  <si>
    <t>Shreya Tiwari</t>
  </si>
  <si>
    <t>Arjun Khanna</t>
  </si>
  <si>
    <t>Diya Nair</t>
  </si>
  <si>
    <t>Dhruv Agarwal</t>
  </si>
  <si>
    <t>Divya Reddy</t>
  </si>
  <si>
    <t>Pranav Mishra</t>
  </si>
  <si>
    <t>Jhanvi Joshi</t>
  </si>
  <si>
    <t>Ishaan Yadav</t>
  </si>
  <si>
    <t>Neha Shah</t>
  </si>
  <si>
    <t>Aarav Singh</t>
  </si>
  <si>
    <t>Kriti Gupta</t>
  </si>
  <si>
    <t>Kunal Mishra</t>
  </si>
  <si>
    <t>Aarohi Nair</t>
  </si>
  <si>
    <t>Yash Shah</t>
  </si>
  <si>
    <t>Diya Tiwari</t>
  </si>
  <si>
    <t>Mohit Pandey</t>
  </si>
  <si>
    <t>Ishita Chopra</t>
  </si>
  <si>
    <t>Parth Banerjee</t>
  </si>
  <si>
    <t>Tanya Mishra</t>
  </si>
  <si>
    <t>Nikhil Shah</t>
  </si>
  <si>
    <t>Ishaan Joshi</t>
  </si>
  <si>
    <t>Diya Gupta</t>
  </si>
  <si>
    <t>Ishaan Singh</t>
  </si>
  <si>
    <t>Neha Malhotra</t>
  </si>
  <si>
    <t>Aarav Mishra</t>
  </si>
  <si>
    <t>Ishita Yadav</t>
  </si>
  <si>
    <t>Dhruv Reddy</t>
  </si>
  <si>
    <t>Divya Shah</t>
  </si>
  <si>
    <t>Dhruv Patel</t>
  </si>
  <si>
    <t>Kriti Verma</t>
  </si>
  <si>
    <t>Student Name</t>
  </si>
  <si>
    <t>Math Marks</t>
  </si>
  <si>
    <t>Total Marks</t>
  </si>
  <si>
    <t>Science Marks</t>
  </si>
  <si>
    <t>Grade Letter</t>
  </si>
  <si>
    <t>Pass / Fail</t>
  </si>
  <si>
    <t>Remark</t>
  </si>
  <si>
    <t>SUNSHINE PUBLIC SCHOOL  –  Student Dashboard  |  2024-25</t>
  </si>
  <si>
    <t>Total Students</t>
  </si>
  <si>
    <t>Paid Fees</t>
  </si>
  <si>
    <t>Fee Pending</t>
  </si>
  <si>
    <t>Avg Attendance</t>
  </si>
  <si>
    <t xml:space="preserve">  Grade-wise Summary</t>
  </si>
  <si>
    <t xml:space="preserve">  Fee Status Summary</t>
  </si>
  <si>
    <t>Boys</t>
  </si>
  <si>
    <t>Girls</t>
  </si>
  <si>
    <t>Status</t>
  </si>
  <si>
    <t>Count</t>
  </si>
  <si>
    <t>% of Total</t>
  </si>
  <si>
    <t>CONDITIONAL FORMATTING  –  Marks Highlighted by Performance</t>
  </si>
  <si>
    <t>Result</t>
  </si>
  <si>
    <t>DATA VISUALIZATION  –  Charts &amp; Graphs</t>
  </si>
  <si>
    <t>Students</t>
  </si>
  <si>
    <t>Avg Math</t>
  </si>
  <si>
    <t>Grade 6</t>
  </si>
  <si>
    <t>Grade 7</t>
  </si>
  <si>
    <t>Grade 8</t>
  </si>
  <si>
    <t>Grade 9</t>
  </si>
  <si>
    <t>Grade 10</t>
  </si>
  <si>
    <t xml:space="preserve">  Pivot 1: Students by Grade × Section</t>
  </si>
  <si>
    <t xml:space="preserve">  Pivot 2: Students by Grade × Fee Status</t>
  </si>
  <si>
    <t>Grade \ Section</t>
  </si>
  <si>
    <t>Grade \ Fee</t>
  </si>
  <si>
    <t>TOTAL</t>
  </si>
  <si>
    <t>VLOOKUP | INDEX-MATCH | IF | Nested Functions</t>
  </si>
  <si>
    <t>MARKS TABLE  (used as lookup)</t>
  </si>
  <si>
    <t xml:space="preserve">Type ID here </t>
  </si>
  <si>
    <t xml:space="preserve">  VLOOKUP  </t>
  </si>
  <si>
    <t xml:space="preserve">  INDEX-MATCH  </t>
  </si>
  <si>
    <t xml:space="preserve">Student Name </t>
  </si>
  <si>
    <t xml:space="preserve">  IF &amp; NESTED IF  </t>
  </si>
  <si>
    <t xml:space="preserve">PIVOT TABLE ANALYSIS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</si>
</sst>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m\-yyyy"/>
    <numFmt numFmtId="165" formatCode="0.0"/>
  </numFmts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1F4E79"/>
      <name val="Calibri"/>
      <charset val="1"/>
    </font>
    <font>
      <sz val="10"/>
      <name val="Calibri"/>
      <charset val="1"/>
    </font>
    <font>
      <b/>
      <sz val="10"/>
      <color rgb="FF375623"/>
      <name val="Calibri"/>
      <charset val="1"/>
    </font>
    <font>
      <b/>
      <sz val="10"/>
      <color rgb="FFC00000"/>
      <name val="Calibri"/>
      <charset val="1"/>
    </font>
    <font>
      <b/>
      <sz val="10"/>
      <color rgb="FFC55A11"/>
      <name val="Calibri"/>
      <charset val="1"/>
    </font>
    <font>
      <b/>
      <sz val="13"/>
      <color rgb="FFFFFFFF"/>
      <name val="Calibri"/>
      <charset val="1"/>
    </font>
    <font>
      <b/>
      <sz val="10"/>
      <name val="Calibri"/>
      <charset val="1"/>
    </font>
    <font>
      <b/>
      <sz val="9"/>
      <color rgb="FFFFFFFF"/>
      <name val="Calibri"/>
      <charset val="1"/>
    </font>
    <font>
      <b/>
      <sz val="22"/>
      <color rgb="FFFFFFFF"/>
      <name val="Calibri"/>
      <charset val="1"/>
    </font>
    <font>
      <i/>
      <sz val="9"/>
      <color rgb="FF595959"/>
      <name val="Calibri"/>
      <charset val="1"/>
    </font>
    <font>
      <b/>
      <sz val="9"/>
      <name val="Calibri"/>
      <charset val="1"/>
    </font>
    <font>
      <b/>
      <sz val="9"/>
      <color rgb="FF1F4E79"/>
      <name val="Calibri"/>
      <charset val="1"/>
    </font>
    <font>
      <i/>
      <sz val="9"/>
      <name val="Calibri"/>
      <charset val="1"/>
    </font>
    <font>
      <b/>
      <sz val="11"/>
      <color rgb="FFFFFFFF"/>
      <name val="Calibri"/>
      <charset val="1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D9EAD3"/>
      </patternFill>
    </fill>
    <fill>
      <patternFill patternType="solid">
        <fgColor rgb="FF375623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C55A11"/>
        <bgColor rgb="FFC0504D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rgb="FF003366"/>
      </patternFill>
    </fill>
    <fill>
      <patternFill patternType="solid">
        <fgColor theme="8" tint="-0.249977111117893"/>
        <bgColor rgb="FF003366"/>
      </patternFill>
    </fill>
    <fill>
      <patternFill patternType="solid">
        <fgColor theme="8" tint="-0.249977111117893"/>
        <bgColor rgb="FF4F81BD"/>
      </patternFill>
    </fill>
    <fill>
      <patternFill patternType="solid">
        <fgColor theme="9" tint="-0.499984740745262"/>
        <bgColor rgb="FF4F81BD"/>
      </patternFill>
    </fill>
    <fill>
      <patternFill patternType="solid">
        <fgColor theme="0"/>
        <bgColor rgb="FF4F81BD"/>
      </patternFill>
    </fill>
    <fill>
      <patternFill patternType="solid">
        <fgColor theme="8" tint="-0.499984740745262"/>
        <bgColor rgb="FF4F81BD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/>
    <xf numFmtId="0" fontId="9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/>
    <xf numFmtId="0" fontId="13" fillId="0" borderId="0" xfId="0" applyFont="1" applyAlignment="1"/>
    <xf numFmtId="0" fontId="14" fillId="0" borderId="0" xfId="0" applyFont="1" applyAlignment="1"/>
    <xf numFmtId="0" fontId="15" fillId="0" borderId="0" xfId="0" applyFont="1" applyAlignment="1"/>
    <xf numFmtId="164" fontId="4" fillId="3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16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7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8" fillId="13" borderId="0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2" fillId="11" borderId="0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8" borderId="1" xfId="0" applyFill="1" applyBorder="1" applyAlignment="1"/>
    <xf numFmtId="0" fontId="0" fillId="9" borderId="1" xfId="0" applyFill="1" applyBorder="1" applyAlignment="1"/>
    <xf numFmtId="0" fontId="0" fillId="10" borderId="1" xfId="0" applyFill="1" applyBorder="1" applyAlignment="1"/>
    <xf numFmtId="0" fontId="0" fillId="12" borderId="2" xfId="0" applyFill="1" applyBorder="1" applyAlignment="1"/>
    <xf numFmtId="0" fontId="16" fillId="15" borderId="2" xfId="0" applyFont="1" applyFill="1" applyBorder="1" applyAlignment="1">
      <alignment horizontal="center"/>
    </xf>
    <xf numFmtId="0" fontId="2" fillId="18" borderId="0" xfId="0" applyFont="1" applyFill="1" applyBorder="1" applyAlignment="1">
      <alignment horizontal="left" vertical="center"/>
    </xf>
    <xf numFmtId="0" fontId="15" fillId="11" borderId="3" xfId="0" applyFont="1" applyFill="1" applyBorder="1" applyAlignment="1">
      <alignment horizontal="center" vertical="center" wrapText="1"/>
    </xf>
    <xf numFmtId="0" fontId="15" fillId="11" borderId="4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/>
    <xf numFmtId="0" fontId="2" fillId="15" borderId="1" xfId="0" applyFont="1" applyFill="1" applyBorder="1" applyAlignment="1">
      <alignment horizontal="center" vertical="center"/>
    </xf>
    <xf numFmtId="0" fontId="1" fillId="13" borderId="0" xfId="0" applyFont="1" applyFill="1" applyBorder="1" applyAlignment="1">
      <alignment horizontal="center" vertical="center"/>
    </xf>
    <xf numFmtId="0" fontId="2" fillId="15" borderId="0" xfId="0" applyFont="1" applyFill="1" applyBorder="1" applyAlignment="1">
      <alignment horizontal="left" vertical="center"/>
    </xf>
    <xf numFmtId="0" fontId="2" fillId="15" borderId="6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C00000"/>
      </font>
      <fill>
        <patternFill>
          <bgColor rgb="FFF4CCCC"/>
        </patternFill>
      </fill>
    </dxf>
    <dxf>
      <font>
        <b/>
        <color rgb="FF375623"/>
      </font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9F9F9"/>
      <rgbColor rgb="FF99CCFF"/>
      <rgbColor rgb="FFFF99CC"/>
      <rgbColor rgb="FFCC99FF"/>
      <rgbColor rgb="FFF4CCCC"/>
      <rgbColor rgb="FF2E75B6"/>
      <rgbColor rgb="FF33CCCC"/>
      <rgbColor rgb="FF9BBB59"/>
      <rgbColor rgb="FFFFCC00"/>
      <rgbColor rgb="FFFF9900"/>
      <rgbColor rgb="FFC55A11"/>
      <rgbColor rgb="FF595959"/>
      <rgbColor rgb="FF969696"/>
      <rgbColor rgb="FF003366"/>
      <rgbColor rgb="FF4F81BD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Students Per Grade</a:t>
            </a:r>
          </a:p>
        </c:rich>
      </c:tx>
      <c:layout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Charts!$A$4:$A$8</c:f>
              <c:strCache>
                <c:ptCount val="5"/>
                <c:pt idx="0">
                  <c:v>Grade 6</c:v>
                </c:pt>
                <c:pt idx="1">
                  <c:v>Grade 7</c:v>
                </c:pt>
                <c:pt idx="2">
                  <c:v>Grade 8</c:v>
                </c:pt>
                <c:pt idx="3">
                  <c:v>Grade 9</c:v>
                </c:pt>
                <c:pt idx="4">
                  <c:v>Grade 10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4</c:v>
                </c:pt>
                <c:pt idx="1">
                  <c:v>16</c:v>
                </c:pt>
                <c:pt idx="2">
                  <c:v>17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9-482E-8929-029BE5A53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37857822"/>
        <c:axId val="4960892"/>
      </c:barChart>
      <c:catAx>
        <c:axId val="378578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4960892"/>
        <c:crosses val="autoZero"/>
        <c:auto val="1"/>
        <c:lblAlgn val="ctr"/>
        <c:lblOffset val="100"/>
        <c:noMultiLvlLbl val="0"/>
      </c:catAx>
      <c:valAx>
        <c:axId val="496089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00B050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37857822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layout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Fee Collection Status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Math Marks by Grade</a:t>
            </a:r>
          </a:p>
        </c:rich>
      </c:tx>
      <c:layout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Avg Math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Charts!$A$4:$A$8</c:f>
              <c:strCache>
                <c:ptCount val="5"/>
                <c:pt idx="0">
                  <c:v>Grade 6</c:v>
                </c:pt>
                <c:pt idx="1">
                  <c:v>Grade 7</c:v>
                </c:pt>
                <c:pt idx="2">
                  <c:v>Grade 8</c:v>
                </c:pt>
                <c:pt idx="3">
                  <c:v>Grade 9</c:v>
                </c:pt>
                <c:pt idx="4">
                  <c:v>Grade 10</c:v>
                </c:pt>
              </c:strCache>
            </c:strRef>
          </c:cat>
          <c:val>
            <c:numRef>
              <c:f>Charts!$C$4:$C$8</c:f>
              <c:numCache>
                <c:formatCode>General</c:formatCode>
                <c:ptCount val="5"/>
                <c:pt idx="0">
                  <c:v>59.3</c:v>
                </c:pt>
                <c:pt idx="1">
                  <c:v>60.8</c:v>
                </c:pt>
                <c:pt idx="2">
                  <c:v>74.099999999999994</c:v>
                </c:pt>
                <c:pt idx="3">
                  <c:v>63.4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F-4F6A-8619-6F0035139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32048980"/>
        <c:axId val="10412865"/>
      </c:barChart>
      <c:catAx>
        <c:axId val="3204898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10412865"/>
        <c:crosses val="autoZero"/>
        <c:auto val="1"/>
        <c:lblAlgn val="ctr"/>
        <c:lblOffset val="100"/>
        <c:noMultiLvlLbl val="0"/>
      </c:catAx>
      <c:valAx>
        <c:axId val="10412865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00B050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32048980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layout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 Collection Status</a:t>
            </a:r>
          </a:p>
        </c:rich>
      </c:tx>
      <c:layout>
        <c:manualLayout>
          <c:xMode val="edge"/>
          <c:yMode val="edge"/>
          <c:x val="0.330069335083114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Charts!$B$20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0F-4826-9953-166F320912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0F-4826-9953-166F320912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70F-4826-9953-166F320912C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Charts!$A$21:$A$23</c:f>
              <c:strCache>
                <c:ptCount val="3"/>
                <c:pt idx="0">
                  <c:v>Paid</c:v>
                </c:pt>
                <c:pt idx="1">
                  <c:v>Pending</c:v>
                </c:pt>
                <c:pt idx="2">
                  <c:v>Partial</c:v>
                </c:pt>
              </c:strCache>
            </c:strRef>
          </c:cat>
          <c:val>
            <c:numRef>
              <c:f>Charts!$B$21:$B$23</c:f>
              <c:numCache>
                <c:formatCode>General</c:formatCode>
                <c:ptCount val="3"/>
                <c:pt idx="0">
                  <c:v>28</c:v>
                </c:pt>
                <c:pt idx="1">
                  <c:v>8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F-4B63-948A-B20D0AABA329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 Collection Status</a:t>
            </a:r>
          </a:p>
        </c:rich>
      </c:tx>
      <c:layout>
        <c:manualLayout>
          <c:xMode val="edge"/>
          <c:yMode val="edge"/>
          <c:x val="0.3300693350831145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Charts!$B$20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CF-4362-8339-D961921B47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CF-4362-8339-D961921B47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CF-4362-8339-D961921B47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Charts!$A$21:$A$23</c:f>
              <c:strCache>
                <c:ptCount val="3"/>
                <c:pt idx="0">
                  <c:v>Paid</c:v>
                </c:pt>
                <c:pt idx="1">
                  <c:v>Pending</c:v>
                </c:pt>
                <c:pt idx="2">
                  <c:v>Partial</c:v>
                </c:pt>
              </c:strCache>
            </c:strRef>
          </c:cat>
          <c:val>
            <c:numRef>
              <c:f>Charts!$B$21:$B$23</c:f>
              <c:numCache>
                <c:formatCode>General</c:formatCode>
                <c:ptCount val="3"/>
                <c:pt idx="0">
                  <c:v>28</c:v>
                </c:pt>
                <c:pt idx="1">
                  <c:v>8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CF-4362-8339-D961921B478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Students Per Grade</a:t>
            </a:r>
          </a:p>
        </c:rich>
      </c:tx>
      <c:layout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Charts!$B$3</c:f>
              <c:strCache>
                <c:ptCount val="1"/>
                <c:pt idx="0">
                  <c:v>Students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Charts!$A$4:$A$8</c:f>
              <c:strCache>
                <c:ptCount val="5"/>
                <c:pt idx="0">
                  <c:v>Grade 6</c:v>
                </c:pt>
                <c:pt idx="1">
                  <c:v>Grade 7</c:v>
                </c:pt>
                <c:pt idx="2">
                  <c:v>Grade 8</c:v>
                </c:pt>
                <c:pt idx="3">
                  <c:v>Grade 9</c:v>
                </c:pt>
                <c:pt idx="4">
                  <c:v>Grade 10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4</c:v>
                </c:pt>
                <c:pt idx="1">
                  <c:v>16</c:v>
                </c:pt>
                <c:pt idx="2">
                  <c:v>17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3-4CB6-8D69-8571E65EC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37857822"/>
        <c:axId val="4960892"/>
      </c:barChart>
      <c:catAx>
        <c:axId val="378578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4960892"/>
        <c:crosses val="autoZero"/>
        <c:auto val="1"/>
        <c:lblAlgn val="ctr"/>
        <c:lblOffset val="100"/>
        <c:noMultiLvlLbl val="0"/>
      </c:catAx>
      <c:valAx>
        <c:axId val="4960892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00B050"/>
              </a:solidFill>
              <a:prstDash val="solid"/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360" cap="flat" cmpd="sng" algn="ctr">
            <a:solidFill>
              <a:srgbClr val="878787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endParaRPr lang="en-US"/>
          </a:p>
        </c:txPr>
        <c:crossAx val="37857822"/>
        <c:crosses val="autoZero"/>
        <c:crossBetween val="between"/>
      </c:valAx>
      <c:spPr>
        <a:noFill/>
        <a:ln w="0">
          <a:noFill/>
        </a:ln>
        <a:effectLst/>
      </c:spPr>
    </c:plotArea>
    <c:legend>
      <c:legendPos val="r"/>
      <c:layout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225777</xdr:colOff>
      <xdr:row>1</xdr:row>
      <xdr:rowOff>84666</xdr:rowOff>
    </xdr:from>
    <xdr:to>
      <xdr:col>12</xdr:col>
      <xdr:colOff>481377</xdr:colOff>
      <xdr:row>24</xdr:row>
      <xdr:rowOff>29382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56444</xdr:rowOff>
    </xdr:from>
    <xdr:to>
      <xdr:col>6</xdr:col>
      <xdr:colOff>238963</xdr:colOff>
      <xdr:row>49</xdr:row>
      <xdr:rowOff>1519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70556</xdr:colOff>
      <xdr:row>1</xdr:row>
      <xdr:rowOff>84667</xdr:rowOff>
    </xdr:from>
    <xdr:to>
      <xdr:col>22</xdr:col>
      <xdr:colOff>326516</xdr:colOff>
      <xdr:row>24</xdr:row>
      <xdr:rowOff>29383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26</xdr:row>
      <xdr:rowOff>57149</xdr:rowOff>
    </xdr:from>
    <xdr:to>
      <xdr:col>6</xdr:col>
      <xdr:colOff>239888</xdr:colOff>
      <xdr:row>48</xdr:row>
      <xdr:rowOff>176388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366890</xdr:colOff>
      <xdr:row>5</xdr:row>
      <xdr:rowOff>169333</xdr:rowOff>
    </xdr:from>
    <xdr:to>
      <xdr:col>16</xdr:col>
      <xdr:colOff>423334</xdr:colOff>
      <xdr:row>25</xdr:row>
      <xdr:rowOff>98072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15</xdr:row>
      <xdr:rowOff>0</xdr:rowOff>
    </xdr:from>
    <xdr:to>
      <xdr:col>8</xdr:col>
      <xdr:colOff>366889</xdr:colOff>
      <xdr:row>37</xdr:row>
      <xdr:rowOff>29383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opLeftCell="B1" zoomScale="90" zoomScaleNormal="90" workbookViewId="0">
      <pane ySplit="2" topLeftCell="A3" activePane="bottomLeft" state="frozen"/>
      <selection pane="bottomLeft" activeCell="C11" sqref="C11"/>
    </sheetView>
  </sheetViews>
  <sheetFormatPr defaultColWidth="8.6328125" defaultRowHeight="14.5" x14ac:dyDescent="0.35"/>
  <cols>
    <col min="1" max="1" width="18.453125" style="1" customWidth="1"/>
    <col min="2" max="2" width="14.08984375" style="1" customWidth="1"/>
    <col min="3" max="3" width="15.54296875" style="1" customWidth="1"/>
    <col min="4" max="4" width="16.90625" style="1" customWidth="1"/>
    <col min="5" max="5" width="12.26953125" style="1" customWidth="1"/>
    <col min="6" max="6" width="10.7265625" style="1" customWidth="1"/>
    <col min="7" max="7" width="13.6328125" style="1" customWidth="1"/>
    <col min="8" max="8" width="12.6328125" style="1" customWidth="1"/>
    <col min="9" max="9" width="11.90625" style="1" customWidth="1"/>
    <col min="10" max="10" width="11.26953125" style="1" customWidth="1"/>
    <col min="11" max="11" width="10.81640625" style="1" customWidth="1"/>
    <col min="12" max="12" width="13" style="1" customWidth="1"/>
    <col min="13" max="13" width="18.453125" style="1" customWidth="1"/>
  </cols>
  <sheetData>
    <row r="1" spans="1:13" ht="30" customHeight="1" x14ac:dyDescent="0.35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1.7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ht="15" customHeight="1" x14ac:dyDescent="0.35">
      <c r="A3" s="3" t="s">
        <v>14</v>
      </c>
      <c r="B3" s="5" t="s">
        <v>15</v>
      </c>
      <c r="C3" s="5" t="s">
        <v>16</v>
      </c>
      <c r="D3" s="25">
        <v>40741</v>
      </c>
      <c r="E3" s="5" t="s">
        <v>17</v>
      </c>
      <c r="F3" s="5">
        <v>7</v>
      </c>
      <c r="G3" s="5" t="s">
        <v>18</v>
      </c>
      <c r="H3" s="5">
        <v>51</v>
      </c>
      <c r="I3" s="5">
        <v>52</v>
      </c>
      <c r="J3" s="5">
        <v>57</v>
      </c>
      <c r="K3" s="5">
        <v>48</v>
      </c>
      <c r="L3" s="6">
        <v>89.6</v>
      </c>
      <c r="M3" s="7" t="s">
        <v>19</v>
      </c>
    </row>
    <row r="4" spans="1:13" ht="15" customHeight="1" x14ac:dyDescent="0.35">
      <c r="A4" s="8" t="s">
        <v>20</v>
      </c>
      <c r="B4" s="10" t="s">
        <v>21</v>
      </c>
      <c r="C4" s="10" t="s">
        <v>22</v>
      </c>
      <c r="D4" s="26">
        <v>39626</v>
      </c>
      <c r="E4" s="10" t="s">
        <v>23</v>
      </c>
      <c r="F4" s="10">
        <v>10</v>
      </c>
      <c r="G4" s="10" t="s">
        <v>24</v>
      </c>
      <c r="H4" s="10">
        <v>52</v>
      </c>
      <c r="I4" s="10">
        <v>64</v>
      </c>
      <c r="J4" s="10">
        <v>88</v>
      </c>
      <c r="K4" s="10">
        <v>79</v>
      </c>
      <c r="L4" s="11">
        <v>82.9</v>
      </c>
      <c r="M4" s="12" t="s">
        <v>25</v>
      </c>
    </row>
    <row r="5" spans="1:13" ht="15" customHeight="1" x14ac:dyDescent="0.35">
      <c r="A5" s="3" t="s">
        <v>26</v>
      </c>
      <c r="B5" s="5" t="s">
        <v>15</v>
      </c>
      <c r="C5" s="5" t="s">
        <v>27</v>
      </c>
      <c r="D5" s="25">
        <v>40808</v>
      </c>
      <c r="E5" s="5" t="s">
        <v>17</v>
      </c>
      <c r="F5" s="5">
        <v>7</v>
      </c>
      <c r="G5" s="5" t="s">
        <v>24</v>
      </c>
      <c r="H5" s="5">
        <v>82</v>
      </c>
      <c r="I5" s="5">
        <v>49</v>
      </c>
      <c r="J5" s="5">
        <v>96</v>
      </c>
      <c r="K5" s="5">
        <v>76</v>
      </c>
      <c r="L5" s="6">
        <v>73.2</v>
      </c>
      <c r="M5" s="13" t="s">
        <v>28</v>
      </c>
    </row>
    <row r="6" spans="1:13" ht="15" customHeight="1" x14ac:dyDescent="0.35">
      <c r="A6" s="8" t="s">
        <v>29</v>
      </c>
      <c r="B6" s="10" t="s">
        <v>30</v>
      </c>
      <c r="C6" s="10" t="s">
        <v>31</v>
      </c>
      <c r="D6" s="26">
        <v>40424</v>
      </c>
      <c r="E6" s="10" t="s">
        <v>23</v>
      </c>
      <c r="F6" s="10">
        <v>8</v>
      </c>
      <c r="G6" s="10" t="s">
        <v>24</v>
      </c>
      <c r="H6" s="10">
        <v>42</v>
      </c>
      <c r="I6" s="10">
        <v>55</v>
      </c>
      <c r="J6" s="10">
        <v>77</v>
      </c>
      <c r="K6" s="10">
        <v>40</v>
      </c>
      <c r="L6" s="11">
        <v>76.599999999999994</v>
      </c>
      <c r="M6" s="14" t="s">
        <v>19</v>
      </c>
    </row>
    <row r="7" spans="1:13" ht="15" customHeight="1" x14ac:dyDescent="0.35">
      <c r="A7" s="3" t="s">
        <v>32</v>
      </c>
      <c r="B7" s="5" t="s">
        <v>33</v>
      </c>
      <c r="C7" s="5" t="s">
        <v>34</v>
      </c>
      <c r="D7" s="25">
        <v>40883</v>
      </c>
      <c r="E7" s="5" t="s">
        <v>17</v>
      </c>
      <c r="F7" s="5">
        <v>7</v>
      </c>
      <c r="G7" s="5" t="s">
        <v>18</v>
      </c>
      <c r="H7" s="5">
        <v>69</v>
      </c>
      <c r="I7" s="5">
        <v>100</v>
      </c>
      <c r="J7" s="5">
        <v>45</v>
      </c>
      <c r="K7" s="5">
        <v>62</v>
      </c>
      <c r="L7" s="6">
        <v>65</v>
      </c>
      <c r="M7" s="13" t="s">
        <v>28</v>
      </c>
    </row>
    <row r="8" spans="1:13" ht="15" customHeight="1" x14ac:dyDescent="0.35">
      <c r="A8" s="8" t="s">
        <v>35</v>
      </c>
      <c r="B8" s="10" t="s">
        <v>36</v>
      </c>
      <c r="C8" s="10" t="s">
        <v>37</v>
      </c>
      <c r="D8" s="26">
        <v>40727</v>
      </c>
      <c r="E8" s="10" t="s">
        <v>23</v>
      </c>
      <c r="F8" s="10">
        <v>7</v>
      </c>
      <c r="G8" s="10" t="s">
        <v>18</v>
      </c>
      <c r="H8" s="10">
        <v>82</v>
      </c>
      <c r="I8" s="10">
        <v>49</v>
      </c>
      <c r="J8" s="10">
        <v>44</v>
      </c>
      <c r="K8" s="10">
        <v>47</v>
      </c>
      <c r="L8" s="11">
        <v>60.9</v>
      </c>
      <c r="M8" s="14" t="s">
        <v>19</v>
      </c>
    </row>
    <row r="9" spans="1:13" ht="15" customHeight="1" x14ac:dyDescent="0.35">
      <c r="A9" s="3" t="s">
        <v>38</v>
      </c>
      <c r="B9" s="5" t="s">
        <v>39</v>
      </c>
      <c r="C9" s="5" t="s">
        <v>22</v>
      </c>
      <c r="D9" s="25">
        <v>40564</v>
      </c>
      <c r="E9" s="5" t="s">
        <v>17</v>
      </c>
      <c r="F9" s="5">
        <v>7</v>
      </c>
      <c r="G9" s="5" t="s">
        <v>24</v>
      </c>
      <c r="H9" s="5">
        <v>79</v>
      </c>
      <c r="I9" s="5">
        <v>38</v>
      </c>
      <c r="J9" s="5">
        <v>66</v>
      </c>
      <c r="K9" s="5">
        <v>61</v>
      </c>
      <c r="L9" s="6">
        <v>65.3</v>
      </c>
      <c r="M9" s="7" t="s">
        <v>19</v>
      </c>
    </row>
    <row r="10" spans="1:13" ht="15" customHeight="1" x14ac:dyDescent="0.35">
      <c r="A10" s="8" t="s">
        <v>40</v>
      </c>
      <c r="B10" s="10" t="s">
        <v>41</v>
      </c>
      <c r="C10" s="10" t="s">
        <v>42</v>
      </c>
      <c r="D10" s="26">
        <v>40183</v>
      </c>
      <c r="E10" s="10" t="s">
        <v>23</v>
      </c>
      <c r="F10" s="10">
        <v>8</v>
      </c>
      <c r="G10" s="10" t="s">
        <v>18</v>
      </c>
      <c r="H10" s="10">
        <v>65</v>
      </c>
      <c r="I10" s="10">
        <v>90</v>
      </c>
      <c r="J10" s="10">
        <v>90</v>
      </c>
      <c r="K10" s="10">
        <v>48</v>
      </c>
      <c r="L10" s="11">
        <v>73.8</v>
      </c>
      <c r="M10" s="12" t="s">
        <v>25</v>
      </c>
    </row>
    <row r="11" spans="1:13" ht="15" customHeight="1" x14ac:dyDescent="0.35">
      <c r="A11" s="3" t="s">
        <v>43</v>
      </c>
      <c r="B11" s="5" t="s">
        <v>44</v>
      </c>
      <c r="C11" s="5" t="s">
        <v>45</v>
      </c>
      <c r="D11" s="25">
        <v>39634</v>
      </c>
      <c r="E11" s="5" t="s">
        <v>17</v>
      </c>
      <c r="F11" s="5">
        <v>10</v>
      </c>
      <c r="G11" s="5" t="s">
        <v>24</v>
      </c>
      <c r="H11" s="5">
        <v>47</v>
      </c>
      <c r="I11" s="5">
        <v>44</v>
      </c>
      <c r="J11" s="5">
        <v>49</v>
      </c>
      <c r="K11" s="5">
        <v>49</v>
      </c>
      <c r="L11" s="6">
        <v>71.5</v>
      </c>
      <c r="M11" s="13" t="s">
        <v>28</v>
      </c>
    </row>
    <row r="12" spans="1:13" ht="15" customHeight="1" x14ac:dyDescent="0.35">
      <c r="A12" s="8" t="s">
        <v>46</v>
      </c>
      <c r="B12" s="10" t="s">
        <v>41</v>
      </c>
      <c r="C12" s="10" t="s">
        <v>47</v>
      </c>
      <c r="D12" s="26">
        <v>40259</v>
      </c>
      <c r="E12" s="10" t="s">
        <v>23</v>
      </c>
      <c r="F12" s="10">
        <v>8</v>
      </c>
      <c r="G12" s="10" t="s">
        <v>24</v>
      </c>
      <c r="H12" s="10">
        <v>91</v>
      </c>
      <c r="I12" s="10">
        <v>52</v>
      </c>
      <c r="J12" s="10">
        <v>96</v>
      </c>
      <c r="K12" s="10">
        <v>56</v>
      </c>
      <c r="L12" s="11">
        <v>64.599999999999994</v>
      </c>
      <c r="M12" s="15" t="s">
        <v>28</v>
      </c>
    </row>
    <row r="13" spans="1:13" ht="15" customHeight="1" x14ac:dyDescent="0.35">
      <c r="A13" s="3" t="s">
        <v>48</v>
      </c>
      <c r="B13" s="5" t="s">
        <v>49</v>
      </c>
      <c r="C13" s="5" t="s">
        <v>34</v>
      </c>
      <c r="D13" s="25">
        <v>40372</v>
      </c>
      <c r="E13" s="5" t="s">
        <v>17</v>
      </c>
      <c r="F13" s="5">
        <v>8</v>
      </c>
      <c r="G13" s="5" t="s">
        <v>50</v>
      </c>
      <c r="H13" s="5">
        <v>77</v>
      </c>
      <c r="I13" s="5">
        <v>91</v>
      </c>
      <c r="J13" s="5">
        <v>45</v>
      </c>
      <c r="K13" s="5">
        <v>61</v>
      </c>
      <c r="L13" s="6">
        <v>68.400000000000006</v>
      </c>
      <c r="M13" s="7" t="s">
        <v>19</v>
      </c>
    </row>
    <row r="14" spans="1:13" ht="15" customHeight="1" x14ac:dyDescent="0.35">
      <c r="A14" s="8" t="s">
        <v>51</v>
      </c>
      <c r="B14" s="10" t="s">
        <v>52</v>
      </c>
      <c r="C14" s="10" t="s">
        <v>53</v>
      </c>
      <c r="D14" s="26">
        <v>39668</v>
      </c>
      <c r="E14" s="10" t="s">
        <v>23</v>
      </c>
      <c r="F14" s="10">
        <v>10</v>
      </c>
      <c r="G14" s="10" t="s">
        <v>50</v>
      </c>
      <c r="H14" s="10">
        <v>51</v>
      </c>
      <c r="I14" s="10">
        <v>94</v>
      </c>
      <c r="J14" s="10">
        <v>44</v>
      </c>
      <c r="K14" s="10">
        <v>99</v>
      </c>
      <c r="L14" s="11">
        <v>74.5</v>
      </c>
      <c r="M14" s="15" t="s">
        <v>28</v>
      </c>
    </row>
    <row r="15" spans="1:13" ht="15" customHeight="1" x14ac:dyDescent="0.35">
      <c r="A15" s="3" t="s">
        <v>54</v>
      </c>
      <c r="B15" s="5" t="s">
        <v>55</v>
      </c>
      <c r="C15" s="5" t="s">
        <v>56</v>
      </c>
      <c r="D15" s="25">
        <v>40505</v>
      </c>
      <c r="E15" s="5" t="s">
        <v>17</v>
      </c>
      <c r="F15" s="5">
        <v>8</v>
      </c>
      <c r="G15" s="5" t="s">
        <v>50</v>
      </c>
      <c r="H15" s="5">
        <v>95</v>
      </c>
      <c r="I15" s="5">
        <v>82</v>
      </c>
      <c r="J15" s="5">
        <v>88</v>
      </c>
      <c r="K15" s="5">
        <v>60</v>
      </c>
      <c r="L15" s="6">
        <v>68.5</v>
      </c>
      <c r="M15" s="13" t="s">
        <v>28</v>
      </c>
    </row>
    <row r="16" spans="1:13" ht="15" customHeight="1" x14ac:dyDescent="0.35">
      <c r="A16" s="8" t="s">
        <v>57</v>
      </c>
      <c r="B16" s="10" t="s">
        <v>58</v>
      </c>
      <c r="C16" s="10" t="s">
        <v>16</v>
      </c>
      <c r="D16" s="26">
        <v>40301</v>
      </c>
      <c r="E16" s="10" t="s">
        <v>23</v>
      </c>
      <c r="F16" s="10">
        <v>8</v>
      </c>
      <c r="G16" s="10" t="s">
        <v>24</v>
      </c>
      <c r="H16" s="10">
        <v>88</v>
      </c>
      <c r="I16" s="10">
        <v>99</v>
      </c>
      <c r="J16" s="10">
        <v>47</v>
      </c>
      <c r="K16" s="10">
        <v>96</v>
      </c>
      <c r="L16" s="11">
        <v>77.099999999999994</v>
      </c>
      <c r="M16" s="15" t="s">
        <v>28</v>
      </c>
    </row>
    <row r="17" spans="1:13" ht="15" customHeight="1" x14ac:dyDescent="0.35">
      <c r="A17" s="3" t="s">
        <v>59</v>
      </c>
      <c r="B17" s="5" t="s">
        <v>60</v>
      </c>
      <c r="C17" s="5" t="s">
        <v>61</v>
      </c>
      <c r="D17" s="25">
        <v>40509</v>
      </c>
      <c r="E17" s="5" t="s">
        <v>17</v>
      </c>
      <c r="F17" s="5">
        <v>8</v>
      </c>
      <c r="G17" s="5" t="s">
        <v>24</v>
      </c>
      <c r="H17" s="5">
        <v>74</v>
      </c>
      <c r="I17" s="5">
        <v>46</v>
      </c>
      <c r="J17" s="5">
        <v>99</v>
      </c>
      <c r="K17" s="5">
        <v>56</v>
      </c>
      <c r="L17" s="6">
        <v>76.8</v>
      </c>
      <c r="M17" s="7" t="s">
        <v>19</v>
      </c>
    </row>
    <row r="18" spans="1:13" ht="15" customHeight="1" x14ac:dyDescent="0.35">
      <c r="A18" s="8" t="s">
        <v>62</v>
      </c>
      <c r="B18" s="10" t="s">
        <v>63</v>
      </c>
      <c r="C18" s="10" t="s">
        <v>64</v>
      </c>
      <c r="D18" s="26">
        <v>40397</v>
      </c>
      <c r="E18" s="10" t="s">
        <v>23</v>
      </c>
      <c r="F18" s="10">
        <v>8</v>
      </c>
      <c r="G18" s="10" t="s">
        <v>24</v>
      </c>
      <c r="H18" s="10">
        <v>83</v>
      </c>
      <c r="I18" s="10">
        <v>81</v>
      </c>
      <c r="J18" s="10">
        <v>80</v>
      </c>
      <c r="K18" s="10">
        <v>95</v>
      </c>
      <c r="L18" s="11">
        <v>98.5</v>
      </c>
      <c r="M18" s="12" t="s">
        <v>25</v>
      </c>
    </row>
    <row r="19" spans="1:13" ht="15" customHeight="1" x14ac:dyDescent="0.35">
      <c r="A19" s="3" t="s">
        <v>65</v>
      </c>
      <c r="B19" s="5" t="s">
        <v>15</v>
      </c>
      <c r="C19" s="5" t="s">
        <v>66</v>
      </c>
      <c r="D19" s="25">
        <v>40869</v>
      </c>
      <c r="E19" s="5" t="s">
        <v>17</v>
      </c>
      <c r="F19" s="5">
        <v>7</v>
      </c>
      <c r="G19" s="5" t="s">
        <v>24</v>
      </c>
      <c r="H19" s="5">
        <v>40</v>
      </c>
      <c r="I19" s="5">
        <v>80</v>
      </c>
      <c r="J19" s="5">
        <v>64</v>
      </c>
      <c r="K19" s="5">
        <v>84</v>
      </c>
      <c r="L19" s="6">
        <v>71.5</v>
      </c>
      <c r="M19" s="13" t="s">
        <v>28</v>
      </c>
    </row>
    <row r="20" spans="1:13" ht="15" customHeight="1" x14ac:dyDescent="0.35">
      <c r="A20" s="8" t="s">
        <v>67</v>
      </c>
      <c r="B20" s="10" t="s">
        <v>68</v>
      </c>
      <c r="C20" s="10" t="s">
        <v>69</v>
      </c>
      <c r="D20" s="26">
        <v>40130</v>
      </c>
      <c r="E20" s="10" t="s">
        <v>23</v>
      </c>
      <c r="F20" s="10">
        <v>9</v>
      </c>
      <c r="G20" s="10" t="s">
        <v>18</v>
      </c>
      <c r="H20" s="10">
        <v>88</v>
      </c>
      <c r="I20" s="10">
        <v>93</v>
      </c>
      <c r="J20" s="10">
        <v>87</v>
      </c>
      <c r="K20" s="10">
        <v>54</v>
      </c>
      <c r="L20" s="11">
        <v>75.900000000000006</v>
      </c>
      <c r="M20" s="15" t="s">
        <v>28</v>
      </c>
    </row>
    <row r="21" spans="1:13" ht="15" customHeight="1" x14ac:dyDescent="0.35">
      <c r="A21" s="3" t="s">
        <v>70</v>
      </c>
      <c r="B21" s="5" t="s">
        <v>71</v>
      </c>
      <c r="C21" s="5" t="s">
        <v>72</v>
      </c>
      <c r="D21" s="25">
        <v>39524</v>
      </c>
      <c r="E21" s="5" t="s">
        <v>17</v>
      </c>
      <c r="F21" s="5">
        <v>10</v>
      </c>
      <c r="G21" s="5" t="s">
        <v>18</v>
      </c>
      <c r="H21" s="5">
        <v>52</v>
      </c>
      <c r="I21" s="5">
        <v>38</v>
      </c>
      <c r="J21" s="5">
        <v>75</v>
      </c>
      <c r="K21" s="5">
        <v>59</v>
      </c>
      <c r="L21" s="6">
        <v>97</v>
      </c>
      <c r="M21" s="13" t="s">
        <v>28</v>
      </c>
    </row>
    <row r="22" spans="1:13" ht="15" customHeight="1" x14ac:dyDescent="0.35">
      <c r="A22" s="8" t="s">
        <v>73</v>
      </c>
      <c r="B22" s="10" t="s">
        <v>36</v>
      </c>
      <c r="C22" s="10" t="s">
        <v>27</v>
      </c>
      <c r="D22" s="26">
        <v>40509</v>
      </c>
      <c r="E22" s="10" t="s">
        <v>23</v>
      </c>
      <c r="F22" s="10">
        <v>8</v>
      </c>
      <c r="G22" s="10" t="s">
        <v>18</v>
      </c>
      <c r="H22" s="10">
        <v>94</v>
      </c>
      <c r="I22" s="10">
        <v>85</v>
      </c>
      <c r="J22" s="10">
        <v>68</v>
      </c>
      <c r="K22" s="10">
        <v>69</v>
      </c>
      <c r="L22" s="11">
        <v>81.900000000000006</v>
      </c>
      <c r="M22" s="12" t="s">
        <v>25</v>
      </c>
    </row>
    <row r="23" spans="1:13" ht="15" customHeight="1" x14ac:dyDescent="0.35">
      <c r="A23" s="3" t="s">
        <v>74</v>
      </c>
      <c r="B23" s="5" t="s">
        <v>44</v>
      </c>
      <c r="C23" s="5" t="s">
        <v>61</v>
      </c>
      <c r="D23" s="25">
        <v>40557</v>
      </c>
      <c r="E23" s="5" t="s">
        <v>17</v>
      </c>
      <c r="F23" s="5">
        <v>7</v>
      </c>
      <c r="G23" s="5" t="s">
        <v>18</v>
      </c>
      <c r="H23" s="5">
        <v>41</v>
      </c>
      <c r="I23" s="5">
        <v>44</v>
      </c>
      <c r="J23" s="5">
        <v>93</v>
      </c>
      <c r="K23" s="5">
        <v>59</v>
      </c>
      <c r="L23" s="6">
        <v>62.9</v>
      </c>
      <c r="M23" s="7" t="s">
        <v>19</v>
      </c>
    </row>
    <row r="24" spans="1:13" ht="15" customHeight="1" x14ac:dyDescent="0.35">
      <c r="A24" s="8" t="s">
        <v>75</v>
      </c>
      <c r="B24" s="10" t="s">
        <v>76</v>
      </c>
      <c r="C24" s="10" t="s">
        <v>53</v>
      </c>
      <c r="D24" s="26">
        <v>39642</v>
      </c>
      <c r="E24" s="10" t="s">
        <v>23</v>
      </c>
      <c r="F24" s="10">
        <v>10</v>
      </c>
      <c r="G24" s="10" t="s">
        <v>18</v>
      </c>
      <c r="H24" s="10">
        <v>100</v>
      </c>
      <c r="I24" s="10">
        <v>83</v>
      </c>
      <c r="J24" s="10">
        <v>79</v>
      </c>
      <c r="K24" s="10">
        <v>76</v>
      </c>
      <c r="L24" s="11">
        <v>71.5</v>
      </c>
      <c r="M24" s="12" t="s">
        <v>25</v>
      </c>
    </row>
    <row r="25" spans="1:13" ht="15" customHeight="1" x14ac:dyDescent="0.35">
      <c r="A25" s="3" t="s">
        <v>77</v>
      </c>
      <c r="B25" s="5" t="s">
        <v>78</v>
      </c>
      <c r="C25" s="5" t="s">
        <v>69</v>
      </c>
      <c r="D25" s="25">
        <v>40160</v>
      </c>
      <c r="E25" s="5" t="s">
        <v>17</v>
      </c>
      <c r="F25" s="5">
        <v>9</v>
      </c>
      <c r="G25" s="5" t="s">
        <v>24</v>
      </c>
      <c r="H25" s="5">
        <v>48</v>
      </c>
      <c r="I25" s="5">
        <v>94</v>
      </c>
      <c r="J25" s="5">
        <v>50</v>
      </c>
      <c r="K25" s="5">
        <v>97</v>
      </c>
      <c r="L25" s="6">
        <v>77.400000000000006</v>
      </c>
      <c r="M25" s="13" t="s">
        <v>28</v>
      </c>
    </row>
    <row r="26" spans="1:13" ht="15" customHeight="1" x14ac:dyDescent="0.35">
      <c r="A26" s="8" t="s">
        <v>79</v>
      </c>
      <c r="B26" s="10" t="s">
        <v>52</v>
      </c>
      <c r="C26" s="10" t="s">
        <v>47</v>
      </c>
      <c r="D26" s="26">
        <v>40730</v>
      </c>
      <c r="E26" s="10" t="s">
        <v>23</v>
      </c>
      <c r="F26" s="10">
        <v>7</v>
      </c>
      <c r="G26" s="10" t="s">
        <v>24</v>
      </c>
      <c r="H26" s="10">
        <v>56</v>
      </c>
      <c r="I26" s="10">
        <v>51</v>
      </c>
      <c r="J26" s="10">
        <v>59</v>
      </c>
      <c r="K26" s="10">
        <v>69</v>
      </c>
      <c r="L26" s="11">
        <v>82.3</v>
      </c>
      <c r="M26" s="15" t="s">
        <v>28</v>
      </c>
    </row>
    <row r="27" spans="1:13" ht="15" customHeight="1" x14ac:dyDescent="0.35">
      <c r="A27" s="3" t="s">
        <v>80</v>
      </c>
      <c r="B27" s="5" t="s">
        <v>81</v>
      </c>
      <c r="C27" s="5" t="s">
        <v>82</v>
      </c>
      <c r="D27" s="25">
        <v>39817</v>
      </c>
      <c r="E27" s="5" t="s">
        <v>17</v>
      </c>
      <c r="F27" s="5">
        <v>9</v>
      </c>
      <c r="G27" s="5" t="s">
        <v>18</v>
      </c>
      <c r="H27" s="5">
        <v>50</v>
      </c>
      <c r="I27" s="5">
        <v>100</v>
      </c>
      <c r="J27" s="5">
        <v>46</v>
      </c>
      <c r="K27" s="5">
        <v>74</v>
      </c>
      <c r="L27" s="6">
        <v>69.3</v>
      </c>
      <c r="M27" s="7" t="s">
        <v>19</v>
      </c>
    </row>
    <row r="28" spans="1:13" ht="15" customHeight="1" x14ac:dyDescent="0.35">
      <c r="A28" s="8" t="s">
        <v>83</v>
      </c>
      <c r="B28" s="10" t="s">
        <v>84</v>
      </c>
      <c r="C28" s="10" t="s">
        <v>31</v>
      </c>
      <c r="D28" s="26">
        <v>40927</v>
      </c>
      <c r="E28" s="10" t="s">
        <v>23</v>
      </c>
      <c r="F28" s="10">
        <v>6</v>
      </c>
      <c r="G28" s="10" t="s">
        <v>24</v>
      </c>
      <c r="H28" s="10">
        <v>81</v>
      </c>
      <c r="I28" s="10">
        <v>84</v>
      </c>
      <c r="J28" s="10">
        <v>42</v>
      </c>
      <c r="K28" s="10">
        <v>76</v>
      </c>
      <c r="L28" s="11">
        <v>86.5</v>
      </c>
      <c r="M28" s="14" t="s">
        <v>19</v>
      </c>
    </row>
    <row r="29" spans="1:13" ht="15" customHeight="1" x14ac:dyDescent="0.35">
      <c r="A29" s="3" t="s">
        <v>85</v>
      </c>
      <c r="B29" s="5" t="s">
        <v>86</v>
      </c>
      <c r="C29" s="5" t="s">
        <v>87</v>
      </c>
      <c r="D29" s="25">
        <v>40429</v>
      </c>
      <c r="E29" s="5" t="s">
        <v>17</v>
      </c>
      <c r="F29" s="5">
        <v>8</v>
      </c>
      <c r="G29" s="5" t="s">
        <v>50</v>
      </c>
      <c r="H29" s="5">
        <v>48</v>
      </c>
      <c r="I29" s="5">
        <v>75</v>
      </c>
      <c r="J29" s="5">
        <v>100</v>
      </c>
      <c r="K29" s="5">
        <v>43</v>
      </c>
      <c r="L29" s="6">
        <v>75.5</v>
      </c>
      <c r="M29" s="7" t="s">
        <v>19</v>
      </c>
    </row>
    <row r="30" spans="1:13" ht="15" customHeight="1" x14ac:dyDescent="0.35">
      <c r="A30" s="8" t="s">
        <v>88</v>
      </c>
      <c r="B30" s="10" t="s">
        <v>21</v>
      </c>
      <c r="C30" s="10" t="s">
        <v>61</v>
      </c>
      <c r="D30" s="26">
        <v>40761</v>
      </c>
      <c r="E30" s="10" t="s">
        <v>23</v>
      </c>
      <c r="F30" s="10">
        <v>7</v>
      </c>
      <c r="G30" s="10" t="s">
        <v>24</v>
      </c>
      <c r="H30" s="10">
        <v>43</v>
      </c>
      <c r="I30" s="10">
        <v>82</v>
      </c>
      <c r="J30" s="10">
        <v>91</v>
      </c>
      <c r="K30" s="10">
        <v>66</v>
      </c>
      <c r="L30" s="11">
        <v>69</v>
      </c>
      <c r="M30" s="14" t="s">
        <v>19</v>
      </c>
    </row>
    <row r="31" spans="1:13" ht="15" customHeight="1" x14ac:dyDescent="0.35">
      <c r="A31" s="3" t="s">
        <v>89</v>
      </c>
      <c r="B31" s="5" t="s">
        <v>90</v>
      </c>
      <c r="C31" s="5" t="s">
        <v>69</v>
      </c>
      <c r="D31" s="25">
        <v>40509</v>
      </c>
      <c r="E31" s="5" t="s">
        <v>17</v>
      </c>
      <c r="F31" s="5">
        <v>8</v>
      </c>
      <c r="G31" s="5" t="s">
        <v>50</v>
      </c>
      <c r="H31" s="5">
        <v>75</v>
      </c>
      <c r="I31" s="5">
        <v>96</v>
      </c>
      <c r="J31" s="5">
        <v>54</v>
      </c>
      <c r="K31" s="5">
        <v>89</v>
      </c>
      <c r="L31" s="6">
        <v>81.8</v>
      </c>
      <c r="M31" s="16" t="s">
        <v>25</v>
      </c>
    </row>
    <row r="32" spans="1:13" ht="15" customHeight="1" x14ac:dyDescent="0.35">
      <c r="A32" s="8" t="s">
        <v>91</v>
      </c>
      <c r="B32" s="10" t="s">
        <v>21</v>
      </c>
      <c r="C32" s="10" t="s">
        <v>22</v>
      </c>
      <c r="D32" s="26">
        <v>41173</v>
      </c>
      <c r="E32" s="10" t="s">
        <v>23</v>
      </c>
      <c r="F32" s="10">
        <v>6</v>
      </c>
      <c r="G32" s="10" t="s">
        <v>18</v>
      </c>
      <c r="H32" s="10">
        <v>48</v>
      </c>
      <c r="I32" s="10">
        <v>90</v>
      </c>
      <c r="J32" s="10">
        <v>50</v>
      </c>
      <c r="K32" s="10">
        <v>49</v>
      </c>
      <c r="L32" s="11">
        <v>81.3</v>
      </c>
      <c r="M32" s="14" t="s">
        <v>19</v>
      </c>
    </row>
    <row r="33" spans="1:13" ht="15" customHeight="1" x14ac:dyDescent="0.35">
      <c r="A33" s="3" t="s">
        <v>92</v>
      </c>
      <c r="B33" s="5" t="s">
        <v>15</v>
      </c>
      <c r="C33" s="5" t="s">
        <v>64</v>
      </c>
      <c r="D33" s="25">
        <v>40189</v>
      </c>
      <c r="E33" s="5" t="s">
        <v>17</v>
      </c>
      <c r="F33" s="5">
        <v>8</v>
      </c>
      <c r="G33" s="5" t="s">
        <v>18</v>
      </c>
      <c r="H33" s="5">
        <v>54</v>
      </c>
      <c r="I33" s="5">
        <v>77</v>
      </c>
      <c r="J33" s="5">
        <v>80</v>
      </c>
      <c r="K33" s="5">
        <v>88</v>
      </c>
      <c r="L33" s="6">
        <v>97.8</v>
      </c>
      <c r="M33" s="7" t="s">
        <v>19</v>
      </c>
    </row>
    <row r="34" spans="1:13" ht="15" customHeight="1" x14ac:dyDescent="0.35">
      <c r="A34" s="8" t="s">
        <v>93</v>
      </c>
      <c r="B34" s="10" t="s">
        <v>52</v>
      </c>
      <c r="C34" s="10" t="s">
        <v>27</v>
      </c>
      <c r="D34" s="26">
        <v>40186</v>
      </c>
      <c r="E34" s="10" t="s">
        <v>23</v>
      </c>
      <c r="F34" s="10">
        <v>8</v>
      </c>
      <c r="G34" s="10" t="s">
        <v>50</v>
      </c>
      <c r="H34" s="10">
        <v>87</v>
      </c>
      <c r="I34" s="10">
        <v>45</v>
      </c>
      <c r="J34" s="10">
        <v>51</v>
      </c>
      <c r="K34" s="10">
        <v>71</v>
      </c>
      <c r="L34" s="11">
        <v>85.1</v>
      </c>
      <c r="M34" s="14" t="s">
        <v>19</v>
      </c>
    </row>
    <row r="35" spans="1:13" ht="15" customHeight="1" x14ac:dyDescent="0.35">
      <c r="A35" s="3" t="s">
        <v>94</v>
      </c>
      <c r="B35" s="5" t="s">
        <v>15</v>
      </c>
      <c r="C35" s="5" t="s">
        <v>72</v>
      </c>
      <c r="D35" s="25">
        <v>40629</v>
      </c>
      <c r="E35" s="5" t="s">
        <v>17</v>
      </c>
      <c r="F35" s="5">
        <v>7</v>
      </c>
      <c r="G35" s="5" t="s">
        <v>18</v>
      </c>
      <c r="H35" s="5">
        <v>68</v>
      </c>
      <c r="I35" s="5">
        <v>84</v>
      </c>
      <c r="J35" s="5">
        <v>92</v>
      </c>
      <c r="K35" s="5">
        <v>78</v>
      </c>
      <c r="L35" s="6">
        <v>94.1</v>
      </c>
      <c r="M35" s="7" t="s">
        <v>19</v>
      </c>
    </row>
    <row r="36" spans="1:13" ht="15" customHeight="1" x14ac:dyDescent="0.35">
      <c r="A36" s="8" t="s">
        <v>95</v>
      </c>
      <c r="B36" s="10" t="s">
        <v>68</v>
      </c>
      <c r="C36" s="10" t="s">
        <v>42</v>
      </c>
      <c r="D36" s="26">
        <v>40242</v>
      </c>
      <c r="E36" s="10" t="s">
        <v>23</v>
      </c>
      <c r="F36" s="10">
        <v>8</v>
      </c>
      <c r="G36" s="10" t="s">
        <v>24</v>
      </c>
      <c r="H36" s="10">
        <v>60</v>
      </c>
      <c r="I36" s="10">
        <v>75</v>
      </c>
      <c r="J36" s="10">
        <v>44</v>
      </c>
      <c r="K36" s="10">
        <v>77</v>
      </c>
      <c r="L36" s="11">
        <v>75.5</v>
      </c>
      <c r="M36" s="14" t="s">
        <v>19</v>
      </c>
    </row>
    <row r="37" spans="1:13" ht="15" customHeight="1" x14ac:dyDescent="0.35">
      <c r="A37" s="3" t="s">
        <v>96</v>
      </c>
      <c r="B37" s="5" t="s">
        <v>71</v>
      </c>
      <c r="C37" s="5" t="s">
        <v>61</v>
      </c>
      <c r="D37" s="25">
        <v>39527</v>
      </c>
      <c r="E37" s="5" t="s">
        <v>17</v>
      </c>
      <c r="F37" s="5">
        <v>10</v>
      </c>
      <c r="G37" s="5" t="s">
        <v>24</v>
      </c>
      <c r="H37" s="5">
        <v>58</v>
      </c>
      <c r="I37" s="5">
        <v>45</v>
      </c>
      <c r="J37" s="5">
        <v>73</v>
      </c>
      <c r="K37" s="5">
        <v>67</v>
      </c>
      <c r="L37" s="6">
        <v>91.3</v>
      </c>
      <c r="M37" s="7" t="s">
        <v>19</v>
      </c>
    </row>
    <row r="38" spans="1:13" ht="15" customHeight="1" x14ac:dyDescent="0.35">
      <c r="A38" s="8" t="s">
        <v>97</v>
      </c>
      <c r="B38" s="10" t="s">
        <v>84</v>
      </c>
      <c r="C38" s="10" t="s">
        <v>66</v>
      </c>
      <c r="D38" s="26">
        <v>40483</v>
      </c>
      <c r="E38" s="10" t="s">
        <v>23</v>
      </c>
      <c r="F38" s="10">
        <v>8</v>
      </c>
      <c r="G38" s="10" t="s">
        <v>50</v>
      </c>
      <c r="H38" s="10">
        <v>64</v>
      </c>
      <c r="I38" s="10">
        <v>90</v>
      </c>
      <c r="J38" s="10">
        <v>59</v>
      </c>
      <c r="K38" s="10">
        <v>79</v>
      </c>
      <c r="L38" s="11">
        <v>68.8</v>
      </c>
      <c r="M38" s="14" t="s">
        <v>19</v>
      </c>
    </row>
    <row r="39" spans="1:13" ht="15" customHeight="1" x14ac:dyDescent="0.35">
      <c r="A39" s="3" t="s">
        <v>98</v>
      </c>
      <c r="B39" s="5" t="s">
        <v>55</v>
      </c>
      <c r="C39" s="5" t="s">
        <v>16</v>
      </c>
      <c r="D39" s="25">
        <v>39820</v>
      </c>
      <c r="E39" s="5" t="s">
        <v>17</v>
      </c>
      <c r="F39" s="5">
        <v>9</v>
      </c>
      <c r="G39" s="5" t="s">
        <v>18</v>
      </c>
      <c r="H39" s="5">
        <v>85</v>
      </c>
      <c r="I39" s="5">
        <v>95</v>
      </c>
      <c r="J39" s="5">
        <v>91</v>
      </c>
      <c r="K39" s="5">
        <v>54</v>
      </c>
      <c r="L39" s="6">
        <v>66.8</v>
      </c>
      <c r="M39" s="7" t="s">
        <v>19</v>
      </c>
    </row>
    <row r="40" spans="1:13" ht="15" customHeight="1" x14ac:dyDescent="0.35">
      <c r="A40" s="8" t="s">
        <v>99</v>
      </c>
      <c r="B40" s="10" t="s">
        <v>58</v>
      </c>
      <c r="C40" s="10" t="s">
        <v>69</v>
      </c>
      <c r="D40" s="26">
        <v>40608</v>
      </c>
      <c r="E40" s="10" t="s">
        <v>23</v>
      </c>
      <c r="F40" s="10">
        <v>7</v>
      </c>
      <c r="G40" s="10" t="s">
        <v>18</v>
      </c>
      <c r="H40" s="10">
        <v>46</v>
      </c>
      <c r="I40" s="10">
        <v>65</v>
      </c>
      <c r="J40" s="10">
        <v>42</v>
      </c>
      <c r="K40" s="10">
        <v>76</v>
      </c>
      <c r="L40" s="11">
        <v>96.8</v>
      </c>
      <c r="M40" s="15" t="s">
        <v>28</v>
      </c>
    </row>
    <row r="41" spans="1:13" ht="15" customHeight="1" x14ac:dyDescent="0.35">
      <c r="A41" s="3" t="s">
        <v>100</v>
      </c>
      <c r="B41" s="5" t="s">
        <v>55</v>
      </c>
      <c r="C41" s="5" t="s">
        <v>101</v>
      </c>
      <c r="D41" s="25">
        <v>40434</v>
      </c>
      <c r="E41" s="5" t="s">
        <v>17</v>
      </c>
      <c r="F41" s="5">
        <v>8</v>
      </c>
      <c r="G41" s="5" t="s">
        <v>50</v>
      </c>
      <c r="H41" s="5">
        <v>77</v>
      </c>
      <c r="I41" s="5">
        <v>86</v>
      </c>
      <c r="J41" s="5">
        <v>69</v>
      </c>
      <c r="K41" s="5">
        <v>49</v>
      </c>
      <c r="L41" s="6">
        <v>60.1</v>
      </c>
      <c r="M41" s="16" t="s">
        <v>25</v>
      </c>
    </row>
    <row r="42" spans="1:13" ht="15" customHeight="1" x14ac:dyDescent="0.35">
      <c r="A42" s="8" t="s">
        <v>102</v>
      </c>
      <c r="B42" s="10" t="s">
        <v>36</v>
      </c>
      <c r="C42" s="10" t="s">
        <v>22</v>
      </c>
      <c r="D42" s="26">
        <v>40711</v>
      </c>
      <c r="E42" s="10" t="s">
        <v>23</v>
      </c>
      <c r="F42" s="10">
        <v>7</v>
      </c>
      <c r="G42" s="10" t="s">
        <v>18</v>
      </c>
      <c r="H42" s="10">
        <v>54</v>
      </c>
      <c r="I42" s="10">
        <v>59</v>
      </c>
      <c r="J42" s="10">
        <v>69</v>
      </c>
      <c r="K42" s="10">
        <v>48</v>
      </c>
      <c r="L42" s="11">
        <v>78.599999999999994</v>
      </c>
      <c r="M42" s="12" t="s">
        <v>25</v>
      </c>
    </row>
    <row r="43" spans="1:13" ht="15" customHeight="1" x14ac:dyDescent="0.35">
      <c r="A43" s="3" t="s">
        <v>103</v>
      </c>
      <c r="B43" s="5" t="s">
        <v>78</v>
      </c>
      <c r="C43" s="5" t="s">
        <v>56</v>
      </c>
      <c r="D43" s="25">
        <v>39512</v>
      </c>
      <c r="E43" s="5" t="s">
        <v>17</v>
      </c>
      <c r="F43" s="5">
        <v>10</v>
      </c>
      <c r="G43" s="5" t="s">
        <v>24</v>
      </c>
      <c r="H43" s="5">
        <v>53</v>
      </c>
      <c r="I43" s="5">
        <v>83</v>
      </c>
      <c r="J43" s="5">
        <v>96</v>
      </c>
      <c r="K43" s="5">
        <v>46</v>
      </c>
      <c r="L43" s="6">
        <v>77</v>
      </c>
      <c r="M43" s="7" t="s">
        <v>19</v>
      </c>
    </row>
    <row r="44" spans="1:13" ht="15" customHeight="1" x14ac:dyDescent="0.35">
      <c r="A44" s="8" t="s">
        <v>104</v>
      </c>
      <c r="B44" s="10" t="s">
        <v>105</v>
      </c>
      <c r="C44" s="10" t="s">
        <v>56</v>
      </c>
      <c r="D44" s="26">
        <v>40789</v>
      </c>
      <c r="E44" s="10" t="s">
        <v>23</v>
      </c>
      <c r="F44" s="10">
        <v>7</v>
      </c>
      <c r="G44" s="10" t="s">
        <v>18</v>
      </c>
      <c r="H44" s="10">
        <v>56</v>
      </c>
      <c r="I44" s="10">
        <v>48</v>
      </c>
      <c r="J44" s="10">
        <v>83</v>
      </c>
      <c r="K44" s="10">
        <v>73</v>
      </c>
      <c r="L44" s="11">
        <v>86.2</v>
      </c>
      <c r="M44" s="14" t="s">
        <v>19</v>
      </c>
    </row>
    <row r="45" spans="1:13" ht="15" customHeight="1" x14ac:dyDescent="0.35">
      <c r="A45" s="3" t="s">
        <v>106</v>
      </c>
      <c r="B45" s="5" t="s">
        <v>107</v>
      </c>
      <c r="C45" s="5" t="s">
        <v>56</v>
      </c>
      <c r="D45" s="25">
        <v>39579</v>
      </c>
      <c r="E45" s="5" t="s">
        <v>17</v>
      </c>
      <c r="F45" s="5">
        <v>10</v>
      </c>
      <c r="G45" s="5" t="s">
        <v>50</v>
      </c>
      <c r="H45" s="5">
        <v>83</v>
      </c>
      <c r="I45" s="5">
        <v>83</v>
      </c>
      <c r="J45" s="5">
        <v>68</v>
      </c>
      <c r="K45" s="5">
        <v>65</v>
      </c>
      <c r="L45" s="6">
        <v>80.5</v>
      </c>
      <c r="M45" s="7" t="s">
        <v>19</v>
      </c>
    </row>
    <row r="46" spans="1:13" ht="15" customHeight="1" x14ac:dyDescent="0.35">
      <c r="A46" s="8" t="s">
        <v>108</v>
      </c>
      <c r="B46" s="10" t="s">
        <v>109</v>
      </c>
      <c r="C46" s="10" t="s">
        <v>66</v>
      </c>
      <c r="D46" s="26">
        <v>39971</v>
      </c>
      <c r="E46" s="10" t="s">
        <v>23</v>
      </c>
      <c r="F46" s="10">
        <v>9</v>
      </c>
      <c r="G46" s="10" t="s">
        <v>50</v>
      </c>
      <c r="H46" s="10">
        <v>46</v>
      </c>
      <c r="I46" s="10">
        <v>88</v>
      </c>
      <c r="J46" s="10">
        <v>82</v>
      </c>
      <c r="K46" s="10">
        <v>41</v>
      </c>
      <c r="L46" s="11">
        <v>96.8</v>
      </c>
      <c r="M46" s="14" t="s">
        <v>19</v>
      </c>
    </row>
    <row r="47" spans="1:13" ht="15" customHeight="1" x14ac:dyDescent="0.35">
      <c r="A47" s="3" t="s">
        <v>110</v>
      </c>
      <c r="B47" s="5" t="s">
        <v>111</v>
      </c>
      <c r="C47" s="5" t="s">
        <v>61</v>
      </c>
      <c r="D47" s="25">
        <v>40657</v>
      </c>
      <c r="E47" s="5" t="s">
        <v>17</v>
      </c>
      <c r="F47" s="5">
        <v>7</v>
      </c>
      <c r="G47" s="5" t="s">
        <v>24</v>
      </c>
      <c r="H47" s="5">
        <v>97</v>
      </c>
      <c r="I47" s="5">
        <v>97</v>
      </c>
      <c r="J47" s="5">
        <v>84</v>
      </c>
      <c r="K47" s="5">
        <v>56</v>
      </c>
      <c r="L47" s="6">
        <v>60.4</v>
      </c>
      <c r="M47" s="7" t="s">
        <v>19</v>
      </c>
    </row>
    <row r="48" spans="1:13" ht="15" customHeight="1" x14ac:dyDescent="0.35">
      <c r="A48" s="8" t="s">
        <v>112</v>
      </c>
      <c r="B48" s="10" t="s">
        <v>113</v>
      </c>
      <c r="C48" s="10" t="s">
        <v>72</v>
      </c>
      <c r="D48" s="26">
        <v>40544</v>
      </c>
      <c r="E48" s="10" t="s">
        <v>23</v>
      </c>
      <c r="F48" s="10">
        <v>7</v>
      </c>
      <c r="G48" s="10" t="s">
        <v>24</v>
      </c>
      <c r="H48" s="10">
        <v>64</v>
      </c>
      <c r="I48" s="10">
        <v>47</v>
      </c>
      <c r="J48" s="10">
        <v>86</v>
      </c>
      <c r="K48" s="10">
        <v>59</v>
      </c>
      <c r="L48" s="11">
        <v>80.7</v>
      </c>
      <c r="M48" s="14" t="s">
        <v>19</v>
      </c>
    </row>
    <row r="49" spans="1:13" ht="15" customHeight="1" x14ac:dyDescent="0.35">
      <c r="A49" s="3" t="s">
        <v>114</v>
      </c>
      <c r="B49" s="5" t="s">
        <v>115</v>
      </c>
      <c r="C49" s="5" t="s">
        <v>56</v>
      </c>
      <c r="D49" s="25">
        <v>40732</v>
      </c>
      <c r="E49" s="5" t="s">
        <v>17</v>
      </c>
      <c r="F49" s="5">
        <v>7</v>
      </c>
      <c r="G49" s="5" t="s">
        <v>18</v>
      </c>
      <c r="H49" s="5">
        <v>45</v>
      </c>
      <c r="I49" s="5">
        <v>91</v>
      </c>
      <c r="J49" s="5">
        <v>97</v>
      </c>
      <c r="K49" s="5">
        <v>64</v>
      </c>
      <c r="L49" s="6">
        <v>60.7</v>
      </c>
      <c r="M49" s="13" t="s">
        <v>28</v>
      </c>
    </row>
    <row r="50" spans="1:13" ht="15" customHeight="1" x14ac:dyDescent="0.35">
      <c r="A50" s="8" t="s">
        <v>116</v>
      </c>
      <c r="B50" s="10" t="s">
        <v>21</v>
      </c>
      <c r="C50" s="10" t="s">
        <v>45</v>
      </c>
      <c r="D50" s="26">
        <v>40960</v>
      </c>
      <c r="E50" s="10" t="s">
        <v>23</v>
      </c>
      <c r="F50" s="10">
        <v>6</v>
      </c>
      <c r="G50" s="10" t="s">
        <v>50</v>
      </c>
      <c r="H50" s="10">
        <v>41</v>
      </c>
      <c r="I50" s="10">
        <v>49</v>
      </c>
      <c r="J50" s="10">
        <v>55</v>
      </c>
      <c r="K50" s="10">
        <v>54</v>
      </c>
      <c r="L50" s="11">
        <v>73.400000000000006</v>
      </c>
      <c r="M50" s="14" t="s">
        <v>19</v>
      </c>
    </row>
    <row r="51" spans="1:13" ht="15" customHeight="1" x14ac:dyDescent="0.35">
      <c r="A51" s="3" t="s">
        <v>117</v>
      </c>
      <c r="B51" s="5" t="s">
        <v>71</v>
      </c>
      <c r="C51" s="5" t="s">
        <v>87</v>
      </c>
      <c r="D51" s="25">
        <v>41108</v>
      </c>
      <c r="E51" s="5" t="s">
        <v>17</v>
      </c>
      <c r="F51" s="5">
        <v>6</v>
      </c>
      <c r="G51" s="5" t="s">
        <v>18</v>
      </c>
      <c r="H51" s="5">
        <v>67</v>
      </c>
      <c r="I51" s="5">
        <v>43</v>
      </c>
      <c r="J51" s="5">
        <v>86</v>
      </c>
      <c r="K51" s="5">
        <v>94</v>
      </c>
      <c r="L51" s="6">
        <v>97.9</v>
      </c>
      <c r="M51" s="7" t="s">
        <v>19</v>
      </c>
    </row>
    <row r="52" spans="1:13" ht="15" customHeight="1" x14ac:dyDescent="0.35">
      <c r="A52" s="8" t="s">
        <v>118</v>
      </c>
      <c r="B52" s="10" t="s">
        <v>119</v>
      </c>
      <c r="C52" s="10" t="s">
        <v>47</v>
      </c>
      <c r="D52" s="26">
        <v>40186</v>
      </c>
      <c r="E52" s="10" t="s">
        <v>23</v>
      </c>
      <c r="F52" s="10">
        <v>8</v>
      </c>
      <c r="G52" s="10" t="s">
        <v>24</v>
      </c>
      <c r="H52" s="10">
        <v>85</v>
      </c>
      <c r="I52" s="10">
        <v>60</v>
      </c>
      <c r="J52" s="10">
        <v>93</v>
      </c>
      <c r="K52" s="10">
        <v>47</v>
      </c>
      <c r="L52" s="11">
        <v>70.7</v>
      </c>
      <c r="M52" s="14" t="s">
        <v>19</v>
      </c>
    </row>
  </sheetData>
  <autoFilter ref="A2:M52"/>
  <mergeCells count="1"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zoomScale="90" zoomScaleNormal="90" workbookViewId="0">
      <selection activeCell="H4" sqref="H4"/>
    </sheetView>
  </sheetViews>
  <sheetFormatPr defaultColWidth="8.6328125" defaultRowHeight="14.5" x14ac:dyDescent="0.35"/>
  <cols>
    <col min="1" max="1" width="16.7265625" style="1" customWidth="1"/>
    <col min="2" max="2" width="25.90625" style="1" customWidth="1"/>
    <col min="3" max="3" width="12" style="1" customWidth="1"/>
    <col min="4" max="4" width="13" style="1" customWidth="1"/>
    <col min="5" max="5" width="12" style="1" customWidth="1"/>
    <col min="6" max="6" width="18" style="1" customWidth="1"/>
    <col min="7" max="7" width="12.6328125" style="1" customWidth="1"/>
    <col min="8" max="8" width="19" style="1" customWidth="1"/>
  </cols>
  <sheetData>
    <row r="1" spans="1:8" ht="27.75" customHeight="1" x14ac:dyDescent="0.35">
      <c r="A1" s="36" t="s">
        <v>196</v>
      </c>
      <c r="B1" s="36"/>
      <c r="C1" s="36"/>
      <c r="D1" s="36"/>
      <c r="E1" s="36"/>
      <c r="F1" s="36"/>
      <c r="G1" s="36"/>
      <c r="H1" s="36"/>
    </row>
    <row r="3" spans="1:8" ht="15" customHeight="1" x14ac:dyDescent="0.35">
      <c r="A3" s="37" t="s">
        <v>197</v>
      </c>
      <c r="B3" s="37"/>
      <c r="C3" s="37"/>
      <c r="D3" s="37"/>
      <c r="E3" s="37"/>
      <c r="F3" s="37"/>
      <c r="G3" s="37"/>
      <c r="H3" s="37"/>
    </row>
    <row r="4" spans="1:8" ht="15" customHeight="1" x14ac:dyDescent="0.35">
      <c r="A4" s="32" t="s">
        <v>1</v>
      </c>
      <c r="B4" s="32" t="s">
        <v>120</v>
      </c>
      <c r="C4" s="32" t="s">
        <v>6</v>
      </c>
      <c r="D4" s="32" t="s">
        <v>8</v>
      </c>
      <c r="E4" s="32" t="s">
        <v>9</v>
      </c>
      <c r="F4" s="32" t="s">
        <v>10</v>
      </c>
      <c r="G4" s="32" t="s">
        <v>121</v>
      </c>
      <c r="H4" s="32" t="s">
        <v>122</v>
      </c>
    </row>
    <row r="5" spans="1:8" ht="15" customHeight="1" x14ac:dyDescent="0.35">
      <c r="A5" s="5" t="s">
        <v>14</v>
      </c>
      <c r="B5" s="5" t="s">
        <v>123</v>
      </c>
      <c r="C5" s="5">
        <v>7</v>
      </c>
      <c r="D5" s="5">
        <v>51</v>
      </c>
      <c r="E5" s="5">
        <v>52</v>
      </c>
      <c r="F5" s="5">
        <v>57</v>
      </c>
      <c r="G5" s="5">
        <f t="shared" ref="G5:G44" si="0">SUM(D5:F5)</f>
        <v>160</v>
      </c>
      <c r="H5" s="6">
        <f t="shared" ref="H5:H44" si="1">ROUND(G5/300*100,1)</f>
        <v>53.3</v>
      </c>
    </row>
    <row r="6" spans="1:8" ht="15" customHeight="1" x14ac:dyDescent="0.35">
      <c r="A6" s="10" t="s">
        <v>20</v>
      </c>
      <c r="B6" s="10" t="s">
        <v>124</v>
      </c>
      <c r="C6" s="10">
        <v>10</v>
      </c>
      <c r="D6" s="10">
        <v>52</v>
      </c>
      <c r="E6" s="10">
        <v>64</v>
      </c>
      <c r="F6" s="10">
        <v>88</v>
      </c>
      <c r="G6" s="10">
        <f t="shared" si="0"/>
        <v>204</v>
      </c>
      <c r="H6" s="11">
        <f t="shared" si="1"/>
        <v>68</v>
      </c>
    </row>
    <row r="7" spans="1:8" ht="15" customHeight="1" x14ac:dyDescent="0.35">
      <c r="A7" s="5" t="s">
        <v>26</v>
      </c>
      <c r="B7" s="5" t="s">
        <v>125</v>
      </c>
      <c r="C7" s="5">
        <v>7</v>
      </c>
      <c r="D7" s="5">
        <v>82</v>
      </c>
      <c r="E7" s="5">
        <v>49</v>
      </c>
      <c r="F7" s="5">
        <v>96</v>
      </c>
      <c r="G7" s="5">
        <f t="shared" si="0"/>
        <v>227</v>
      </c>
      <c r="H7" s="6">
        <f t="shared" si="1"/>
        <v>75.7</v>
      </c>
    </row>
    <row r="8" spans="1:8" ht="15" customHeight="1" x14ac:dyDescent="0.35">
      <c r="A8" s="10" t="s">
        <v>29</v>
      </c>
      <c r="B8" s="10" t="s">
        <v>126</v>
      </c>
      <c r="C8" s="10">
        <v>8</v>
      </c>
      <c r="D8" s="10">
        <v>42</v>
      </c>
      <c r="E8" s="10">
        <v>55</v>
      </c>
      <c r="F8" s="10">
        <v>77</v>
      </c>
      <c r="G8" s="10">
        <f t="shared" si="0"/>
        <v>174</v>
      </c>
      <c r="H8" s="11">
        <f t="shared" si="1"/>
        <v>58</v>
      </c>
    </row>
    <row r="9" spans="1:8" ht="15" customHeight="1" x14ac:dyDescent="0.35">
      <c r="A9" s="5" t="s">
        <v>32</v>
      </c>
      <c r="B9" s="5" t="s">
        <v>127</v>
      </c>
      <c r="C9" s="5">
        <v>7</v>
      </c>
      <c r="D9" s="5">
        <v>69</v>
      </c>
      <c r="E9" s="5">
        <v>100</v>
      </c>
      <c r="F9" s="5">
        <v>45</v>
      </c>
      <c r="G9" s="5">
        <f t="shared" si="0"/>
        <v>214</v>
      </c>
      <c r="H9" s="6">
        <f t="shared" si="1"/>
        <v>71.3</v>
      </c>
    </row>
    <row r="10" spans="1:8" ht="15" customHeight="1" x14ac:dyDescent="0.35">
      <c r="A10" s="10" t="s">
        <v>35</v>
      </c>
      <c r="B10" s="10" t="s">
        <v>128</v>
      </c>
      <c r="C10" s="10">
        <v>7</v>
      </c>
      <c r="D10" s="10">
        <v>82</v>
      </c>
      <c r="E10" s="10">
        <v>49</v>
      </c>
      <c r="F10" s="10">
        <v>44</v>
      </c>
      <c r="G10" s="10">
        <f t="shared" si="0"/>
        <v>175</v>
      </c>
      <c r="H10" s="11">
        <f t="shared" si="1"/>
        <v>58.3</v>
      </c>
    </row>
    <row r="11" spans="1:8" ht="15" customHeight="1" x14ac:dyDescent="0.35">
      <c r="A11" s="5" t="s">
        <v>38</v>
      </c>
      <c r="B11" s="5" t="s">
        <v>129</v>
      </c>
      <c r="C11" s="5">
        <v>7</v>
      </c>
      <c r="D11" s="5">
        <v>79</v>
      </c>
      <c r="E11" s="5">
        <v>38</v>
      </c>
      <c r="F11" s="5">
        <v>66</v>
      </c>
      <c r="G11" s="5">
        <f t="shared" si="0"/>
        <v>183</v>
      </c>
      <c r="H11" s="6">
        <f t="shared" si="1"/>
        <v>61</v>
      </c>
    </row>
    <row r="12" spans="1:8" ht="15" customHeight="1" x14ac:dyDescent="0.35">
      <c r="A12" s="10" t="s">
        <v>40</v>
      </c>
      <c r="B12" s="10" t="s">
        <v>130</v>
      </c>
      <c r="C12" s="10">
        <v>8</v>
      </c>
      <c r="D12" s="10">
        <v>65</v>
      </c>
      <c r="E12" s="10">
        <v>90</v>
      </c>
      <c r="F12" s="10">
        <v>90</v>
      </c>
      <c r="G12" s="10">
        <f t="shared" si="0"/>
        <v>245</v>
      </c>
      <c r="H12" s="11">
        <f t="shared" si="1"/>
        <v>81.7</v>
      </c>
    </row>
    <row r="13" spans="1:8" ht="15" customHeight="1" x14ac:dyDescent="0.35">
      <c r="A13" s="5" t="s">
        <v>43</v>
      </c>
      <c r="B13" s="5" t="s">
        <v>131</v>
      </c>
      <c r="C13" s="5">
        <v>10</v>
      </c>
      <c r="D13" s="5">
        <v>47</v>
      </c>
      <c r="E13" s="5">
        <v>44</v>
      </c>
      <c r="F13" s="5">
        <v>49</v>
      </c>
      <c r="G13" s="5">
        <f t="shared" si="0"/>
        <v>140</v>
      </c>
      <c r="H13" s="6">
        <f t="shared" si="1"/>
        <v>46.7</v>
      </c>
    </row>
    <row r="14" spans="1:8" ht="15" customHeight="1" x14ac:dyDescent="0.35">
      <c r="A14" s="10" t="s">
        <v>46</v>
      </c>
      <c r="B14" s="10" t="s">
        <v>132</v>
      </c>
      <c r="C14" s="10">
        <v>8</v>
      </c>
      <c r="D14" s="10">
        <v>91</v>
      </c>
      <c r="E14" s="10">
        <v>52</v>
      </c>
      <c r="F14" s="10">
        <v>96</v>
      </c>
      <c r="G14" s="10">
        <f t="shared" si="0"/>
        <v>239</v>
      </c>
      <c r="H14" s="11">
        <f t="shared" si="1"/>
        <v>79.7</v>
      </c>
    </row>
    <row r="15" spans="1:8" ht="15" customHeight="1" x14ac:dyDescent="0.35">
      <c r="A15" s="5" t="s">
        <v>48</v>
      </c>
      <c r="B15" s="5" t="s">
        <v>133</v>
      </c>
      <c r="C15" s="5">
        <v>8</v>
      </c>
      <c r="D15" s="5">
        <v>77</v>
      </c>
      <c r="E15" s="5">
        <v>91</v>
      </c>
      <c r="F15" s="5">
        <v>45</v>
      </c>
      <c r="G15" s="5">
        <f t="shared" si="0"/>
        <v>213</v>
      </c>
      <c r="H15" s="6">
        <f t="shared" si="1"/>
        <v>71</v>
      </c>
    </row>
    <row r="16" spans="1:8" ht="15" customHeight="1" x14ac:dyDescent="0.35">
      <c r="A16" s="10" t="s">
        <v>51</v>
      </c>
      <c r="B16" s="10" t="s">
        <v>134</v>
      </c>
      <c r="C16" s="10">
        <v>10</v>
      </c>
      <c r="D16" s="10">
        <v>51</v>
      </c>
      <c r="E16" s="10">
        <v>94</v>
      </c>
      <c r="F16" s="10">
        <v>44</v>
      </c>
      <c r="G16" s="10">
        <f t="shared" si="0"/>
        <v>189</v>
      </c>
      <c r="H16" s="11">
        <f t="shared" si="1"/>
        <v>63</v>
      </c>
    </row>
    <row r="17" spans="1:8" ht="15" customHeight="1" x14ac:dyDescent="0.35">
      <c r="A17" s="5" t="s">
        <v>54</v>
      </c>
      <c r="B17" s="5" t="s">
        <v>135</v>
      </c>
      <c r="C17" s="5">
        <v>8</v>
      </c>
      <c r="D17" s="5">
        <v>95</v>
      </c>
      <c r="E17" s="5">
        <v>82</v>
      </c>
      <c r="F17" s="5">
        <v>88</v>
      </c>
      <c r="G17" s="5">
        <f t="shared" si="0"/>
        <v>265</v>
      </c>
      <c r="H17" s="6">
        <f t="shared" si="1"/>
        <v>88.3</v>
      </c>
    </row>
    <row r="18" spans="1:8" ht="15" customHeight="1" x14ac:dyDescent="0.35">
      <c r="A18" s="10" t="s">
        <v>57</v>
      </c>
      <c r="B18" s="10" t="s">
        <v>136</v>
      </c>
      <c r="C18" s="10">
        <v>8</v>
      </c>
      <c r="D18" s="10">
        <v>88</v>
      </c>
      <c r="E18" s="10">
        <v>99</v>
      </c>
      <c r="F18" s="10">
        <v>47</v>
      </c>
      <c r="G18" s="10">
        <f t="shared" si="0"/>
        <v>234</v>
      </c>
      <c r="H18" s="11">
        <f t="shared" si="1"/>
        <v>78</v>
      </c>
    </row>
    <row r="19" spans="1:8" ht="15" customHeight="1" x14ac:dyDescent="0.35">
      <c r="A19" s="5" t="s">
        <v>59</v>
      </c>
      <c r="B19" s="5" t="s">
        <v>137</v>
      </c>
      <c r="C19" s="5">
        <v>8</v>
      </c>
      <c r="D19" s="5">
        <v>74</v>
      </c>
      <c r="E19" s="5">
        <v>46</v>
      </c>
      <c r="F19" s="5">
        <v>99</v>
      </c>
      <c r="G19" s="5">
        <f t="shared" si="0"/>
        <v>219</v>
      </c>
      <c r="H19" s="6">
        <f t="shared" si="1"/>
        <v>73</v>
      </c>
    </row>
    <row r="20" spans="1:8" ht="15" customHeight="1" x14ac:dyDescent="0.35">
      <c r="A20" s="10" t="s">
        <v>62</v>
      </c>
      <c r="B20" s="10" t="s">
        <v>138</v>
      </c>
      <c r="C20" s="10">
        <v>8</v>
      </c>
      <c r="D20" s="10">
        <v>83</v>
      </c>
      <c r="E20" s="10">
        <v>81</v>
      </c>
      <c r="F20" s="10">
        <v>80</v>
      </c>
      <c r="G20" s="10">
        <f t="shared" si="0"/>
        <v>244</v>
      </c>
      <c r="H20" s="11">
        <f t="shared" si="1"/>
        <v>81.3</v>
      </c>
    </row>
    <row r="21" spans="1:8" ht="15" customHeight="1" x14ac:dyDescent="0.35">
      <c r="A21" s="5" t="s">
        <v>65</v>
      </c>
      <c r="B21" s="5" t="s">
        <v>139</v>
      </c>
      <c r="C21" s="5">
        <v>7</v>
      </c>
      <c r="D21" s="5">
        <v>40</v>
      </c>
      <c r="E21" s="5">
        <v>80</v>
      </c>
      <c r="F21" s="5">
        <v>64</v>
      </c>
      <c r="G21" s="5">
        <f t="shared" si="0"/>
        <v>184</v>
      </c>
      <c r="H21" s="6">
        <f t="shared" si="1"/>
        <v>61.3</v>
      </c>
    </row>
    <row r="22" spans="1:8" ht="15" customHeight="1" x14ac:dyDescent="0.35">
      <c r="A22" s="10" t="s">
        <v>67</v>
      </c>
      <c r="B22" s="10" t="s">
        <v>140</v>
      </c>
      <c r="C22" s="10">
        <v>9</v>
      </c>
      <c r="D22" s="10">
        <v>88</v>
      </c>
      <c r="E22" s="10">
        <v>93</v>
      </c>
      <c r="F22" s="10">
        <v>87</v>
      </c>
      <c r="G22" s="10">
        <f t="shared" si="0"/>
        <v>268</v>
      </c>
      <c r="H22" s="11">
        <f t="shared" si="1"/>
        <v>89.3</v>
      </c>
    </row>
    <row r="23" spans="1:8" ht="15" customHeight="1" x14ac:dyDescent="0.35">
      <c r="A23" s="5" t="s">
        <v>70</v>
      </c>
      <c r="B23" s="5" t="s">
        <v>141</v>
      </c>
      <c r="C23" s="5">
        <v>10</v>
      </c>
      <c r="D23" s="5">
        <v>52</v>
      </c>
      <c r="E23" s="5">
        <v>38</v>
      </c>
      <c r="F23" s="5">
        <v>75</v>
      </c>
      <c r="G23" s="5">
        <f t="shared" si="0"/>
        <v>165</v>
      </c>
      <c r="H23" s="6">
        <f t="shared" si="1"/>
        <v>55</v>
      </c>
    </row>
    <row r="24" spans="1:8" ht="15" customHeight="1" x14ac:dyDescent="0.35">
      <c r="A24" s="10" t="s">
        <v>73</v>
      </c>
      <c r="B24" s="10" t="s">
        <v>142</v>
      </c>
      <c r="C24" s="10">
        <v>8</v>
      </c>
      <c r="D24" s="10">
        <v>94</v>
      </c>
      <c r="E24" s="10">
        <v>85</v>
      </c>
      <c r="F24" s="10">
        <v>68</v>
      </c>
      <c r="G24" s="10">
        <f t="shared" si="0"/>
        <v>247</v>
      </c>
      <c r="H24" s="11">
        <f t="shared" si="1"/>
        <v>82.3</v>
      </c>
    </row>
    <row r="25" spans="1:8" ht="15" customHeight="1" x14ac:dyDescent="0.35">
      <c r="A25" s="5" t="s">
        <v>74</v>
      </c>
      <c r="B25" s="5" t="s">
        <v>143</v>
      </c>
      <c r="C25" s="5">
        <v>7</v>
      </c>
      <c r="D25" s="5">
        <v>41</v>
      </c>
      <c r="E25" s="5">
        <v>44</v>
      </c>
      <c r="F25" s="5">
        <v>93</v>
      </c>
      <c r="G25" s="5">
        <f t="shared" si="0"/>
        <v>178</v>
      </c>
      <c r="H25" s="6">
        <f t="shared" si="1"/>
        <v>59.3</v>
      </c>
    </row>
    <row r="26" spans="1:8" ht="15" customHeight="1" x14ac:dyDescent="0.35">
      <c r="A26" s="10" t="s">
        <v>75</v>
      </c>
      <c r="B26" s="10" t="s">
        <v>144</v>
      </c>
      <c r="C26" s="10">
        <v>10</v>
      </c>
      <c r="D26" s="10">
        <v>100</v>
      </c>
      <c r="E26" s="10">
        <v>83</v>
      </c>
      <c r="F26" s="10">
        <v>79</v>
      </c>
      <c r="G26" s="10">
        <f t="shared" si="0"/>
        <v>262</v>
      </c>
      <c r="H26" s="11">
        <f t="shared" si="1"/>
        <v>87.3</v>
      </c>
    </row>
    <row r="27" spans="1:8" ht="15" customHeight="1" x14ac:dyDescent="0.35">
      <c r="A27" s="5" t="s">
        <v>77</v>
      </c>
      <c r="B27" s="5" t="s">
        <v>145</v>
      </c>
      <c r="C27" s="5">
        <v>9</v>
      </c>
      <c r="D27" s="5">
        <v>48</v>
      </c>
      <c r="E27" s="5">
        <v>94</v>
      </c>
      <c r="F27" s="5">
        <v>50</v>
      </c>
      <c r="G27" s="5">
        <f t="shared" si="0"/>
        <v>192</v>
      </c>
      <c r="H27" s="6">
        <f t="shared" si="1"/>
        <v>64</v>
      </c>
    </row>
    <row r="28" spans="1:8" ht="15" customHeight="1" x14ac:dyDescent="0.35">
      <c r="A28" s="10" t="s">
        <v>79</v>
      </c>
      <c r="B28" s="10" t="s">
        <v>146</v>
      </c>
      <c r="C28" s="10">
        <v>7</v>
      </c>
      <c r="D28" s="10">
        <v>56</v>
      </c>
      <c r="E28" s="10">
        <v>51</v>
      </c>
      <c r="F28" s="10">
        <v>59</v>
      </c>
      <c r="G28" s="10">
        <f t="shared" si="0"/>
        <v>166</v>
      </c>
      <c r="H28" s="11">
        <f t="shared" si="1"/>
        <v>55.3</v>
      </c>
    </row>
    <row r="29" spans="1:8" ht="15" customHeight="1" x14ac:dyDescent="0.35">
      <c r="A29" s="5" t="s">
        <v>80</v>
      </c>
      <c r="B29" s="5" t="s">
        <v>147</v>
      </c>
      <c r="C29" s="5">
        <v>9</v>
      </c>
      <c r="D29" s="5">
        <v>50</v>
      </c>
      <c r="E29" s="5">
        <v>100</v>
      </c>
      <c r="F29" s="5">
        <v>46</v>
      </c>
      <c r="G29" s="5">
        <f t="shared" si="0"/>
        <v>196</v>
      </c>
      <c r="H29" s="6">
        <f t="shared" si="1"/>
        <v>65.3</v>
      </c>
    </row>
    <row r="30" spans="1:8" ht="15" customHeight="1" x14ac:dyDescent="0.35">
      <c r="A30" s="10" t="s">
        <v>83</v>
      </c>
      <c r="B30" s="10" t="s">
        <v>148</v>
      </c>
      <c r="C30" s="10">
        <v>6</v>
      </c>
      <c r="D30" s="10">
        <v>81</v>
      </c>
      <c r="E30" s="10">
        <v>84</v>
      </c>
      <c r="F30" s="10">
        <v>42</v>
      </c>
      <c r="G30" s="10">
        <f t="shared" si="0"/>
        <v>207</v>
      </c>
      <c r="H30" s="11">
        <f t="shared" si="1"/>
        <v>69</v>
      </c>
    </row>
    <row r="31" spans="1:8" ht="15" customHeight="1" x14ac:dyDescent="0.35">
      <c r="A31" s="5" t="s">
        <v>85</v>
      </c>
      <c r="B31" s="5" t="s">
        <v>149</v>
      </c>
      <c r="C31" s="5">
        <v>8</v>
      </c>
      <c r="D31" s="5">
        <v>48</v>
      </c>
      <c r="E31" s="5">
        <v>75</v>
      </c>
      <c r="F31" s="5">
        <v>100</v>
      </c>
      <c r="G31" s="5">
        <f t="shared" si="0"/>
        <v>223</v>
      </c>
      <c r="H31" s="6">
        <f t="shared" si="1"/>
        <v>74.3</v>
      </c>
    </row>
    <row r="32" spans="1:8" ht="15" customHeight="1" x14ac:dyDescent="0.35">
      <c r="A32" s="10" t="s">
        <v>88</v>
      </c>
      <c r="B32" s="10" t="s">
        <v>150</v>
      </c>
      <c r="C32" s="10">
        <v>7</v>
      </c>
      <c r="D32" s="10">
        <v>43</v>
      </c>
      <c r="E32" s="10">
        <v>82</v>
      </c>
      <c r="F32" s="10">
        <v>91</v>
      </c>
      <c r="G32" s="10">
        <f t="shared" si="0"/>
        <v>216</v>
      </c>
      <c r="H32" s="11">
        <f t="shared" si="1"/>
        <v>72</v>
      </c>
    </row>
    <row r="33" spans="1:8" ht="15" customHeight="1" x14ac:dyDescent="0.35">
      <c r="A33" s="5" t="s">
        <v>89</v>
      </c>
      <c r="B33" s="5" t="s">
        <v>151</v>
      </c>
      <c r="C33" s="5">
        <v>8</v>
      </c>
      <c r="D33" s="5">
        <v>75</v>
      </c>
      <c r="E33" s="5">
        <v>96</v>
      </c>
      <c r="F33" s="5">
        <v>54</v>
      </c>
      <c r="G33" s="5">
        <f t="shared" si="0"/>
        <v>225</v>
      </c>
      <c r="H33" s="6">
        <f t="shared" si="1"/>
        <v>75</v>
      </c>
    </row>
    <row r="34" spans="1:8" ht="15" customHeight="1" x14ac:dyDescent="0.35">
      <c r="A34" s="10" t="s">
        <v>91</v>
      </c>
      <c r="B34" s="10" t="s">
        <v>124</v>
      </c>
      <c r="C34" s="10">
        <v>6</v>
      </c>
      <c r="D34" s="10">
        <v>48</v>
      </c>
      <c r="E34" s="10">
        <v>90</v>
      </c>
      <c r="F34" s="10">
        <v>50</v>
      </c>
      <c r="G34" s="10">
        <f t="shared" si="0"/>
        <v>188</v>
      </c>
      <c r="H34" s="11">
        <f t="shared" si="1"/>
        <v>62.7</v>
      </c>
    </row>
    <row r="35" spans="1:8" ht="15" customHeight="1" x14ac:dyDescent="0.35">
      <c r="A35" s="5" t="s">
        <v>92</v>
      </c>
      <c r="B35" s="5" t="s">
        <v>152</v>
      </c>
      <c r="C35" s="5">
        <v>8</v>
      </c>
      <c r="D35" s="5">
        <v>54</v>
      </c>
      <c r="E35" s="5">
        <v>77</v>
      </c>
      <c r="F35" s="5">
        <v>80</v>
      </c>
      <c r="G35" s="5">
        <f t="shared" si="0"/>
        <v>211</v>
      </c>
      <c r="H35" s="6">
        <f t="shared" si="1"/>
        <v>70.3</v>
      </c>
    </row>
    <row r="36" spans="1:8" ht="15" customHeight="1" x14ac:dyDescent="0.35">
      <c r="A36" s="10" t="s">
        <v>93</v>
      </c>
      <c r="B36" s="10" t="s">
        <v>153</v>
      </c>
      <c r="C36" s="10">
        <v>8</v>
      </c>
      <c r="D36" s="10">
        <v>87</v>
      </c>
      <c r="E36" s="10">
        <v>45</v>
      </c>
      <c r="F36" s="10">
        <v>51</v>
      </c>
      <c r="G36" s="10">
        <f t="shared" si="0"/>
        <v>183</v>
      </c>
      <c r="H36" s="11">
        <f t="shared" si="1"/>
        <v>61</v>
      </c>
    </row>
    <row r="37" spans="1:8" ht="15" customHeight="1" x14ac:dyDescent="0.35">
      <c r="A37" s="5" t="s">
        <v>94</v>
      </c>
      <c r="B37" s="5" t="s">
        <v>154</v>
      </c>
      <c r="C37" s="5">
        <v>7</v>
      </c>
      <c r="D37" s="5">
        <v>68</v>
      </c>
      <c r="E37" s="5">
        <v>84</v>
      </c>
      <c r="F37" s="5">
        <v>92</v>
      </c>
      <c r="G37" s="5">
        <f t="shared" si="0"/>
        <v>244</v>
      </c>
      <c r="H37" s="6">
        <f t="shared" si="1"/>
        <v>81.3</v>
      </c>
    </row>
    <row r="38" spans="1:8" ht="15" customHeight="1" x14ac:dyDescent="0.35">
      <c r="A38" s="10" t="s">
        <v>95</v>
      </c>
      <c r="B38" s="10" t="s">
        <v>155</v>
      </c>
      <c r="C38" s="10">
        <v>8</v>
      </c>
      <c r="D38" s="10">
        <v>60</v>
      </c>
      <c r="E38" s="10">
        <v>75</v>
      </c>
      <c r="F38" s="10">
        <v>44</v>
      </c>
      <c r="G38" s="10">
        <f t="shared" si="0"/>
        <v>179</v>
      </c>
      <c r="H38" s="11">
        <f t="shared" si="1"/>
        <v>59.7</v>
      </c>
    </row>
    <row r="39" spans="1:8" ht="15" customHeight="1" x14ac:dyDescent="0.35">
      <c r="A39" s="5" t="s">
        <v>96</v>
      </c>
      <c r="B39" s="5" t="s">
        <v>156</v>
      </c>
      <c r="C39" s="5">
        <v>10</v>
      </c>
      <c r="D39" s="5">
        <v>58</v>
      </c>
      <c r="E39" s="5">
        <v>45</v>
      </c>
      <c r="F39" s="5">
        <v>73</v>
      </c>
      <c r="G39" s="5">
        <f t="shared" si="0"/>
        <v>176</v>
      </c>
      <c r="H39" s="6">
        <f t="shared" si="1"/>
        <v>58.7</v>
      </c>
    </row>
    <row r="40" spans="1:8" ht="15" customHeight="1" x14ac:dyDescent="0.35">
      <c r="A40" s="10" t="s">
        <v>97</v>
      </c>
      <c r="B40" s="10" t="s">
        <v>157</v>
      </c>
      <c r="C40" s="10">
        <v>8</v>
      </c>
      <c r="D40" s="10">
        <v>64</v>
      </c>
      <c r="E40" s="10">
        <v>90</v>
      </c>
      <c r="F40" s="10">
        <v>59</v>
      </c>
      <c r="G40" s="10">
        <f t="shared" si="0"/>
        <v>213</v>
      </c>
      <c r="H40" s="11">
        <f t="shared" si="1"/>
        <v>71</v>
      </c>
    </row>
    <row r="41" spans="1:8" ht="15" customHeight="1" x14ac:dyDescent="0.35">
      <c r="A41" s="5" t="s">
        <v>98</v>
      </c>
      <c r="B41" s="5" t="s">
        <v>158</v>
      </c>
      <c r="C41" s="5">
        <v>9</v>
      </c>
      <c r="D41" s="5">
        <v>85</v>
      </c>
      <c r="E41" s="5">
        <v>95</v>
      </c>
      <c r="F41" s="5">
        <v>91</v>
      </c>
      <c r="G41" s="5">
        <f t="shared" si="0"/>
        <v>271</v>
      </c>
      <c r="H41" s="6">
        <f t="shared" si="1"/>
        <v>90.3</v>
      </c>
    </row>
    <row r="42" spans="1:8" ht="15" customHeight="1" x14ac:dyDescent="0.35">
      <c r="A42" s="10" t="s">
        <v>99</v>
      </c>
      <c r="B42" s="10" t="s">
        <v>159</v>
      </c>
      <c r="C42" s="10">
        <v>7</v>
      </c>
      <c r="D42" s="10">
        <v>46</v>
      </c>
      <c r="E42" s="10">
        <v>65</v>
      </c>
      <c r="F42" s="10">
        <v>42</v>
      </c>
      <c r="G42" s="10">
        <f t="shared" si="0"/>
        <v>153</v>
      </c>
      <c r="H42" s="11">
        <f t="shared" si="1"/>
        <v>51</v>
      </c>
    </row>
    <row r="43" spans="1:8" ht="15" customHeight="1" x14ac:dyDescent="0.35">
      <c r="A43" s="5" t="s">
        <v>100</v>
      </c>
      <c r="B43" s="5" t="s">
        <v>160</v>
      </c>
      <c r="C43" s="5">
        <v>8</v>
      </c>
      <c r="D43" s="5">
        <v>77</v>
      </c>
      <c r="E43" s="5">
        <v>86</v>
      </c>
      <c r="F43" s="5">
        <v>69</v>
      </c>
      <c r="G43" s="5">
        <f t="shared" si="0"/>
        <v>232</v>
      </c>
      <c r="H43" s="6">
        <f t="shared" si="1"/>
        <v>77.3</v>
      </c>
    </row>
    <row r="44" spans="1:8" ht="15" customHeight="1" x14ac:dyDescent="0.35">
      <c r="A44" s="10" t="s">
        <v>102</v>
      </c>
      <c r="B44" s="10" t="s">
        <v>161</v>
      </c>
      <c r="C44" s="10">
        <v>7</v>
      </c>
      <c r="D44" s="10">
        <v>54</v>
      </c>
      <c r="E44" s="10">
        <v>59</v>
      </c>
      <c r="F44" s="10">
        <v>69</v>
      </c>
      <c r="G44" s="10">
        <f t="shared" si="0"/>
        <v>182</v>
      </c>
      <c r="H44" s="11">
        <f t="shared" si="1"/>
        <v>60.7</v>
      </c>
    </row>
    <row r="47" spans="1:8" ht="19.5" customHeight="1" x14ac:dyDescent="0.35">
      <c r="A47" s="38" t="s">
        <v>199</v>
      </c>
      <c r="B47" s="38"/>
      <c r="C47" s="38"/>
      <c r="D47" s="38"/>
      <c r="E47" s="38"/>
      <c r="F47" s="38"/>
      <c r="G47" s="38"/>
      <c r="H47" s="38"/>
    </row>
    <row r="48" spans="1:8" ht="15" customHeight="1" x14ac:dyDescent="0.35">
      <c r="A48" s="29" t="s">
        <v>198</v>
      </c>
      <c r="B48" s="27" t="s">
        <v>14</v>
      </c>
    </row>
    <row r="49" spans="1:8" ht="15" customHeight="1" x14ac:dyDescent="0.35">
      <c r="A49" s="30" t="s">
        <v>162</v>
      </c>
      <c r="B49" s="28" t="str">
        <f>IFERROR(VLOOKUP(B48,A5:H44,2,FALSE()),"Not found")</f>
        <v>Ishaan Reddy</v>
      </c>
    </row>
    <row r="50" spans="1:8" ht="15" customHeight="1" x14ac:dyDescent="0.35">
      <c r="A50" s="30" t="s">
        <v>6</v>
      </c>
      <c r="B50" s="28">
        <f>IFERROR(VLOOKUP(B48,A5:H44,3,FALSE()),"Not found")</f>
        <v>7</v>
      </c>
    </row>
    <row r="51" spans="1:8" ht="15" customHeight="1" x14ac:dyDescent="0.35">
      <c r="A51" s="30" t="s">
        <v>163</v>
      </c>
      <c r="B51" s="28">
        <f>IFERROR(VLOOKUP(B48,A5:H44,4,FALSE()),"Not found")</f>
        <v>51</v>
      </c>
    </row>
    <row r="52" spans="1:8" ht="15" customHeight="1" x14ac:dyDescent="0.35">
      <c r="A52" s="30" t="s">
        <v>164</v>
      </c>
      <c r="B52" s="28">
        <f>IFERROR(VLOOKUP(B48,A5:H44,7,FALSE()),"Not found")</f>
        <v>160</v>
      </c>
    </row>
    <row r="53" spans="1:8" ht="15" customHeight="1" x14ac:dyDescent="0.35">
      <c r="A53" s="30" t="s">
        <v>122</v>
      </c>
      <c r="B53" s="28">
        <f>IFERROR(VLOOKUP(B48,A5:H44,8,FALSE()),"Not found")</f>
        <v>53.3</v>
      </c>
    </row>
    <row r="56" spans="1:8" ht="19.5" customHeight="1" x14ac:dyDescent="0.35">
      <c r="A56" s="38" t="s">
        <v>200</v>
      </c>
      <c r="B56" s="38"/>
      <c r="C56" s="38"/>
      <c r="D56" s="38"/>
      <c r="E56" s="38"/>
      <c r="F56" s="38"/>
      <c r="G56" s="38"/>
      <c r="H56" s="38"/>
    </row>
    <row r="57" spans="1:8" ht="15" customHeight="1" x14ac:dyDescent="0.35">
      <c r="A57" s="29" t="s">
        <v>201</v>
      </c>
      <c r="B57" s="27" t="s">
        <v>128</v>
      </c>
    </row>
    <row r="58" spans="1:8" ht="15" customHeight="1" x14ac:dyDescent="0.35">
      <c r="A58" s="30" t="s">
        <v>165</v>
      </c>
      <c r="B58" s="28">
        <f>IFERROR(INDEX(E5:E44,MATCH(B57,B5:B44,0)),"Not found")</f>
        <v>49</v>
      </c>
    </row>
    <row r="61" spans="1:8" ht="19.5" customHeight="1" x14ac:dyDescent="0.35">
      <c r="A61" s="38" t="s">
        <v>202</v>
      </c>
      <c r="B61" s="38"/>
      <c r="C61" s="38"/>
      <c r="D61" s="38"/>
      <c r="E61" s="38"/>
      <c r="F61" s="38"/>
      <c r="G61" s="38"/>
      <c r="H61" s="38"/>
    </row>
    <row r="62" spans="1:8" ht="15" customHeight="1" x14ac:dyDescent="0.35">
      <c r="A62" s="17" t="s">
        <v>1</v>
      </c>
      <c r="B62" s="17" t="s">
        <v>120</v>
      </c>
      <c r="C62" s="17" t="s">
        <v>122</v>
      </c>
      <c r="D62" s="17" t="s">
        <v>166</v>
      </c>
      <c r="E62" s="17" t="s">
        <v>167</v>
      </c>
      <c r="F62" s="17" t="s">
        <v>168</v>
      </c>
    </row>
    <row r="63" spans="1:8" ht="15" customHeight="1" x14ac:dyDescent="0.35">
      <c r="A63" s="5" t="s">
        <v>14</v>
      </c>
      <c r="B63" s="5" t="s">
        <v>123</v>
      </c>
      <c r="C63" s="6">
        <f>IFERROR(VLOOKUP(A63,A5:H44,8,FALSE()),0)</f>
        <v>53.3</v>
      </c>
      <c r="D63" s="5" t="str">
        <f t="shared" ref="D63:D92" si="2">IF(C63&gt;=90,"A+",IF(C63&gt;=75,"A",IF(C63&gt;=60,"B",IF(C63&gt;=45,"C","D"))))</f>
        <v>C</v>
      </c>
      <c r="E63" s="5" t="str">
        <f t="shared" ref="E63:E92" si="3">IF(C63&gt;=33,"PASS","FAIL")</f>
        <v>PASS</v>
      </c>
      <c r="F63" s="5" t="str">
        <f t="shared" ref="F63:F92" si="4">IF(C63&gt;=90,"Excellent",IF(C63&gt;=75,"Very Good",IF(C63&gt;=60,"Good",IF(C63&gt;=45,"Average","Needs Improvement"))))</f>
        <v>Average</v>
      </c>
    </row>
    <row r="64" spans="1:8" ht="15" customHeight="1" x14ac:dyDescent="0.35">
      <c r="A64" s="10" t="s">
        <v>20</v>
      </c>
      <c r="B64" s="10" t="s">
        <v>124</v>
      </c>
      <c r="C64" s="11">
        <f>IFERROR(VLOOKUP(A64,A5:H44,8,FALSE()),0)</f>
        <v>68</v>
      </c>
      <c r="D64" s="10" t="str">
        <f t="shared" si="2"/>
        <v>B</v>
      </c>
      <c r="E64" s="10" t="str">
        <f t="shared" si="3"/>
        <v>PASS</v>
      </c>
      <c r="F64" s="10" t="str">
        <f t="shared" si="4"/>
        <v>Good</v>
      </c>
    </row>
    <row r="65" spans="1:6" ht="15" customHeight="1" x14ac:dyDescent="0.35">
      <c r="A65" s="5" t="s">
        <v>26</v>
      </c>
      <c r="B65" s="5" t="s">
        <v>125</v>
      </c>
      <c r="C65" s="6">
        <f>IFERROR(VLOOKUP(A65,A5:H44,8,FALSE()),0)</f>
        <v>75.7</v>
      </c>
      <c r="D65" s="5" t="str">
        <f t="shared" si="2"/>
        <v>A</v>
      </c>
      <c r="E65" s="5" t="str">
        <f t="shared" si="3"/>
        <v>PASS</v>
      </c>
      <c r="F65" s="5" t="str">
        <f t="shared" si="4"/>
        <v>Very Good</v>
      </c>
    </row>
    <row r="66" spans="1:6" ht="15" customHeight="1" x14ac:dyDescent="0.35">
      <c r="A66" s="10" t="s">
        <v>29</v>
      </c>
      <c r="B66" s="10" t="s">
        <v>126</v>
      </c>
      <c r="C66" s="11">
        <f>IFERROR(VLOOKUP(A66,A5:H44,8,FALSE()),0)</f>
        <v>58</v>
      </c>
      <c r="D66" s="10" t="str">
        <f t="shared" si="2"/>
        <v>C</v>
      </c>
      <c r="E66" s="10" t="str">
        <f t="shared" si="3"/>
        <v>PASS</v>
      </c>
      <c r="F66" s="10" t="str">
        <f t="shared" si="4"/>
        <v>Average</v>
      </c>
    </row>
    <row r="67" spans="1:6" ht="15" customHeight="1" x14ac:dyDescent="0.35">
      <c r="A67" s="5" t="s">
        <v>32</v>
      </c>
      <c r="B67" s="5" t="s">
        <v>127</v>
      </c>
      <c r="C67" s="6">
        <f>IFERROR(VLOOKUP(A67,A5:H44,8,FALSE()),0)</f>
        <v>71.3</v>
      </c>
      <c r="D67" s="5" t="str">
        <f t="shared" si="2"/>
        <v>B</v>
      </c>
      <c r="E67" s="5" t="str">
        <f t="shared" si="3"/>
        <v>PASS</v>
      </c>
      <c r="F67" s="5" t="str">
        <f t="shared" si="4"/>
        <v>Good</v>
      </c>
    </row>
    <row r="68" spans="1:6" ht="15" customHeight="1" x14ac:dyDescent="0.35">
      <c r="A68" s="10" t="s">
        <v>35</v>
      </c>
      <c r="B68" s="10" t="s">
        <v>128</v>
      </c>
      <c r="C68" s="11">
        <f>IFERROR(VLOOKUP(A68,A5:H44,8,FALSE()),0)</f>
        <v>58.3</v>
      </c>
      <c r="D68" s="10" t="str">
        <f t="shared" si="2"/>
        <v>C</v>
      </c>
      <c r="E68" s="10" t="str">
        <f t="shared" si="3"/>
        <v>PASS</v>
      </c>
      <c r="F68" s="10" t="str">
        <f t="shared" si="4"/>
        <v>Average</v>
      </c>
    </row>
    <row r="69" spans="1:6" ht="15" customHeight="1" x14ac:dyDescent="0.35">
      <c r="A69" s="5" t="s">
        <v>38</v>
      </c>
      <c r="B69" s="5" t="s">
        <v>129</v>
      </c>
      <c r="C69" s="6">
        <f>IFERROR(VLOOKUP(A69,A5:H44,8,FALSE()),0)</f>
        <v>61</v>
      </c>
      <c r="D69" s="5" t="str">
        <f t="shared" si="2"/>
        <v>B</v>
      </c>
      <c r="E69" s="5" t="str">
        <f t="shared" si="3"/>
        <v>PASS</v>
      </c>
      <c r="F69" s="5" t="str">
        <f t="shared" si="4"/>
        <v>Good</v>
      </c>
    </row>
    <row r="70" spans="1:6" ht="15" customHeight="1" x14ac:dyDescent="0.35">
      <c r="A70" s="10" t="s">
        <v>40</v>
      </c>
      <c r="B70" s="10" t="s">
        <v>130</v>
      </c>
      <c r="C70" s="11">
        <f>IFERROR(VLOOKUP(A70,A5:H44,8,FALSE()),0)</f>
        <v>81.7</v>
      </c>
      <c r="D70" s="10" t="str">
        <f t="shared" si="2"/>
        <v>A</v>
      </c>
      <c r="E70" s="10" t="str">
        <f t="shared" si="3"/>
        <v>PASS</v>
      </c>
      <c r="F70" s="10" t="str">
        <f t="shared" si="4"/>
        <v>Very Good</v>
      </c>
    </row>
    <row r="71" spans="1:6" ht="15" customHeight="1" x14ac:dyDescent="0.35">
      <c r="A71" s="5" t="s">
        <v>43</v>
      </c>
      <c r="B71" s="5" t="s">
        <v>131</v>
      </c>
      <c r="C71" s="6">
        <f>IFERROR(VLOOKUP(A71,A5:H44,8,FALSE()),0)</f>
        <v>46.7</v>
      </c>
      <c r="D71" s="5" t="str">
        <f t="shared" si="2"/>
        <v>C</v>
      </c>
      <c r="E71" s="5" t="str">
        <f t="shared" si="3"/>
        <v>PASS</v>
      </c>
      <c r="F71" s="5" t="str">
        <f t="shared" si="4"/>
        <v>Average</v>
      </c>
    </row>
    <row r="72" spans="1:6" ht="15" customHeight="1" x14ac:dyDescent="0.35">
      <c r="A72" s="10" t="s">
        <v>46</v>
      </c>
      <c r="B72" s="10" t="s">
        <v>132</v>
      </c>
      <c r="C72" s="11">
        <f>IFERROR(VLOOKUP(A72,A5:H44,8,FALSE()),0)</f>
        <v>79.7</v>
      </c>
      <c r="D72" s="10" t="str">
        <f t="shared" si="2"/>
        <v>A</v>
      </c>
      <c r="E72" s="10" t="str">
        <f t="shared" si="3"/>
        <v>PASS</v>
      </c>
      <c r="F72" s="10" t="str">
        <f t="shared" si="4"/>
        <v>Very Good</v>
      </c>
    </row>
    <row r="73" spans="1:6" ht="15" customHeight="1" x14ac:dyDescent="0.35">
      <c r="A73" s="5" t="s">
        <v>48</v>
      </c>
      <c r="B73" s="5" t="s">
        <v>133</v>
      </c>
      <c r="C73" s="6">
        <f>IFERROR(VLOOKUP(A73,A5:H44,8,FALSE()),0)</f>
        <v>71</v>
      </c>
      <c r="D73" s="5" t="str">
        <f t="shared" si="2"/>
        <v>B</v>
      </c>
      <c r="E73" s="5" t="str">
        <f t="shared" si="3"/>
        <v>PASS</v>
      </c>
      <c r="F73" s="5" t="str">
        <f t="shared" si="4"/>
        <v>Good</v>
      </c>
    </row>
    <row r="74" spans="1:6" ht="15" customHeight="1" x14ac:dyDescent="0.35">
      <c r="A74" s="10" t="s">
        <v>51</v>
      </c>
      <c r="B74" s="10" t="s">
        <v>134</v>
      </c>
      <c r="C74" s="11">
        <f>IFERROR(VLOOKUP(A74,A5:H44,8,FALSE()),0)</f>
        <v>63</v>
      </c>
      <c r="D74" s="10" t="str">
        <f t="shared" si="2"/>
        <v>B</v>
      </c>
      <c r="E74" s="10" t="str">
        <f t="shared" si="3"/>
        <v>PASS</v>
      </c>
      <c r="F74" s="10" t="str">
        <f t="shared" si="4"/>
        <v>Good</v>
      </c>
    </row>
    <row r="75" spans="1:6" ht="15" customHeight="1" x14ac:dyDescent="0.35">
      <c r="A75" s="5" t="s">
        <v>54</v>
      </c>
      <c r="B75" s="5" t="s">
        <v>135</v>
      </c>
      <c r="C75" s="6">
        <f>IFERROR(VLOOKUP(A75,A5:H44,8,FALSE()),0)</f>
        <v>88.3</v>
      </c>
      <c r="D75" s="5" t="str">
        <f t="shared" si="2"/>
        <v>A</v>
      </c>
      <c r="E75" s="5" t="str">
        <f t="shared" si="3"/>
        <v>PASS</v>
      </c>
      <c r="F75" s="5" t="str">
        <f t="shared" si="4"/>
        <v>Very Good</v>
      </c>
    </row>
    <row r="76" spans="1:6" ht="15" customHeight="1" x14ac:dyDescent="0.35">
      <c r="A76" s="10" t="s">
        <v>57</v>
      </c>
      <c r="B76" s="10" t="s">
        <v>136</v>
      </c>
      <c r="C76" s="11">
        <f>IFERROR(VLOOKUP(A76,A5:H44,8,FALSE()),0)</f>
        <v>78</v>
      </c>
      <c r="D76" s="10" t="str">
        <f t="shared" si="2"/>
        <v>A</v>
      </c>
      <c r="E76" s="10" t="str">
        <f t="shared" si="3"/>
        <v>PASS</v>
      </c>
      <c r="F76" s="10" t="str">
        <f t="shared" si="4"/>
        <v>Very Good</v>
      </c>
    </row>
    <row r="77" spans="1:6" ht="15" customHeight="1" x14ac:dyDescent="0.35">
      <c r="A77" s="5" t="s">
        <v>59</v>
      </c>
      <c r="B77" s="5" t="s">
        <v>137</v>
      </c>
      <c r="C77" s="6">
        <f>IFERROR(VLOOKUP(A77,A5:H44,8,FALSE()),0)</f>
        <v>73</v>
      </c>
      <c r="D77" s="5" t="str">
        <f t="shared" si="2"/>
        <v>B</v>
      </c>
      <c r="E77" s="5" t="str">
        <f t="shared" si="3"/>
        <v>PASS</v>
      </c>
      <c r="F77" s="5" t="str">
        <f t="shared" si="4"/>
        <v>Good</v>
      </c>
    </row>
    <row r="78" spans="1:6" ht="15" customHeight="1" x14ac:dyDescent="0.35">
      <c r="A78" s="10" t="s">
        <v>62</v>
      </c>
      <c r="B78" s="10" t="s">
        <v>138</v>
      </c>
      <c r="C78" s="11">
        <f>IFERROR(VLOOKUP(A78,A5:H44,8,FALSE()),0)</f>
        <v>81.3</v>
      </c>
      <c r="D78" s="10" t="str">
        <f t="shared" si="2"/>
        <v>A</v>
      </c>
      <c r="E78" s="10" t="str">
        <f t="shared" si="3"/>
        <v>PASS</v>
      </c>
      <c r="F78" s="10" t="str">
        <f t="shared" si="4"/>
        <v>Very Good</v>
      </c>
    </row>
    <row r="79" spans="1:6" ht="15" customHeight="1" x14ac:dyDescent="0.35">
      <c r="A79" s="5" t="s">
        <v>65</v>
      </c>
      <c r="B79" s="5" t="s">
        <v>139</v>
      </c>
      <c r="C79" s="6">
        <f>IFERROR(VLOOKUP(A79,A5:H44,8,FALSE()),0)</f>
        <v>61.3</v>
      </c>
      <c r="D79" s="5" t="str">
        <f t="shared" si="2"/>
        <v>B</v>
      </c>
      <c r="E79" s="5" t="str">
        <f t="shared" si="3"/>
        <v>PASS</v>
      </c>
      <c r="F79" s="5" t="str">
        <f t="shared" si="4"/>
        <v>Good</v>
      </c>
    </row>
    <row r="80" spans="1:6" ht="15" customHeight="1" x14ac:dyDescent="0.35">
      <c r="A80" s="10" t="s">
        <v>67</v>
      </c>
      <c r="B80" s="10" t="s">
        <v>140</v>
      </c>
      <c r="C80" s="11">
        <f>IFERROR(VLOOKUP(A80,A5:H44,8,FALSE()),0)</f>
        <v>89.3</v>
      </c>
      <c r="D80" s="10" t="str">
        <f t="shared" si="2"/>
        <v>A</v>
      </c>
      <c r="E80" s="10" t="str">
        <f t="shared" si="3"/>
        <v>PASS</v>
      </c>
      <c r="F80" s="10" t="str">
        <f t="shared" si="4"/>
        <v>Very Good</v>
      </c>
    </row>
    <row r="81" spans="1:6" ht="15" customHeight="1" x14ac:dyDescent="0.35">
      <c r="A81" s="5" t="s">
        <v>70</v>
      </c>
      <c r="B81" s="5" t="s">
        <v>141</v>
      </c>
      <c r="C81" s="6">
        <f>IFERROR(VLOOKUP(A81,A5:H44,8,FALSE()),0)</f>
        <v>55</v>
      </c>
      <c r="D81" s="5" t="str">
        <f t="shared" si="2"/>
        <v>C</v>
      </c>
      <c r="E81" s="5" t="str">
        <f t="shared" si="3"/>
        <v>PASS</v>
      </c>
      <c r="F81" s="5" t="str">
        <f t="shared" si="4"/>
        <v>Average</v>
      </c>
    </row>
    <row r="82" spans="1:6" ht="15" customHeight="1" x14ac:dyDescent="0.35">
      <c r="A82" s="10" t="s">
        <v>73</v>
      </c>
      <c r="B82" s="10" t="s">
        <v>142</v>
      </c>
      <c r="C82" s="11">
        <f>IFERROR(VLOOKUP(A82,A5:H44,8,FALSE()),0)</f>
        <v>82.3</v>
      </c>
      <c r="D82" s="10" t="str">
        <f t="shared" si="2"/>
        <v>A</v>
      </c>
      <c r="E82" s="10" t="str">
        <f t="shared" si="3"/>
        <v>PASS</v>
      </c>
      <c r="F82" s="10" t="str">
        <f t="shared" si="4"/>
        <v>Very Good</v>
      </c>
    </row>
    <row r="83" spans="1:6" ht="15" customHeight="1" x14ac:dyDescent="0.35">
      <c r="A83" s="5" t="s">
        <v>74</v>
      </c>
      <c r="B83" s="5" t="s">
        <v>143</v>
      </c>
      <c r="C83" s="6">
        <f>IFERROR(VLOOKUP(A83,A5:H44,8,FALSE()),0)</f>
        <v>59.3</v>
      </c>
      <c r="D83" s="5" t="str">
        <f t="shared" si="2"/>
        <v>C</v>
      </c>
      <c r="E83" s="5" t="str">
        <f t="shared" si="3"/>
        <v>PASS</v>
      </c>
      <c r="F83" s="5" t="str">
        <f t="shared" si="4"/>
        <v>Average</v>
      </c>
    </row>
    <row r="84" spans="1:6" ht="15" customHeight="1" x14ac:dyDescent="0.35">
      <c r="A84" s="10" t="s">
        <v>75</v>
      </c>
      <c r="B84" s="10" t="s">
        <v>144</v>
      </c>
      <c r="C84" s="11">
        <f>IFERROR(VLOOKUP(A84,A5:H44,8,FALSE()),0)</f>
        <v>87.3</v>
      </c>
      <c r="D84" s="10" t="str">
        <f t="shared" si="2"/>
        <v>A</v>
      </c>
      <c r="E84" s="10" t="str">
        <f t="shared" si="3"/>
        <v>PASS</v>
      </c>
      <c r="F84" s="10" t="str">
        <f t="shared" si="4"/>
        <v>Very Good</v>
      </c>
    </row>
    <row r="85" spans="1:6" ht="15" customHeight="1" x14ac:dyDescent="0.35">
      <c r="A85" s="5" t="s">
        <v>77</v>
      </c>
      <c r="B85" s="5" t="s">
        <v>145</v>
      </c>
      <c r="C85" s="6">
        <f>IFERROR(VLOOKUP(A85,A5:H44,8,FALSE()),0)</f>
        <v>64</v>
      </c>
      <c r="D85" s="5" t="str">
        <f t="shared" si="2"/>
        <v>B</v>
      </c>
      <c r="E85" s="5" t="str">
        <f t="shared" si="3"/>
        <v>PASS</v>
      </c>
      <c r="F85" s="5" t="str">
        <f t="shared" si="4"/>
        <v>Good</v>
      </c>
    </row>
    <row r="86" spans="1:6" ht="15" customHeight="1" x14ac:dyDescent="0.35">
      <c r="A86" s="10" t="s">
        <v>79</v>
      </c>
      <c r="B86" s="10" t="s">
        <v>146</v>
      </c>
      <c r="C86" s="11">
        <f>IFERROR(VLOOKUP(A86,A5:H44,8,FALSE()),0)</f>
        <v>55.3</v>
      </c>
      <c r="D86" s="10" t="str">
        <f t="shared" si="2"/>
        <v>C</v>
      </c>
      <c r="E86" s="10" t="str">
        <f t="shared" si="3"/>
        <v>PASS</v>
      </c>
      <c r="F86" s="10" t="str">
        <f t="shared" si="4"/>
        <v>Average</v>
      </c>
    </row>
    <row r="87" spans="1:6" ht="15" customHeight="1" x14ac:dyDescent="0.35">
      <c r="A87" s="5" t="s">
        <v>80</v>
      </c>
      <c r="B87" s="5" t="s">
        <v>147</v>
      </c>
      <c r="C87" s="6">
        <f>IFERROR(VLOOKUP(A87,A5:H44,8,FALSE()),0)</f>
        <v>65.3</v>
      </c>
      <c r="D87" s="5" t="str">
        <f t="shared" si="2"/>
        <v>B</v>
      </c>
      <c r="E87" s="5" t="str">
        <f t="shared" si="3"/>
        <v>PASS</v>
      </c>
      <c r="F87" s="5" t="str">
        <f t="shared" si="4"/>
        <v>Good</v>
      </c>
    </row>
    <row r="88" spans="1:6" ht="15" customHeight="1" x14ac:dyDescent="0.35">
      <c r="A88" s="10" t="s">
        <v>83</v>
      </c>
      <c r="B88" s="10" t="s">
        <v>148</v>
      </c>
      <c r="C88" s="11">
        <f>IFERROR(VLOOKUP(A88,A5:H44,8,FALSE()),0)</f>
        <v>69</v>
      </c>
      <c r="D88" s="10" t="str">
        <f t="shared" si="2"/>
        <v>B</v>
      </c>
      <c r="E88" s="10" t="str">
        <f t="shared" si="3"/>
        <v>PASS</v>
      </c>
      <c r="F88" s="10" t="str">
        <f t="shared" si="4"/>
        <v>Good</v>
      </c>
    </row>
    <row r="89" spans="1:6" ht="15" customHeight="1" x14ac:dyDescent="0.35">
      <c r="A89" s="5" t="s">
        <v>85</v>
      </c>
      <c r="B89" s="5" t="s">
        <v>149</v>
      </c>
      <c r="C89" s="6">
        <f>IFERROR(VLOOKUP(A89,A5:H44,8,FALSE()),0)</f>
        <v>74.3</v>
      </c>
      <c r="D89" s="5" t="str">
        <f t="shared" si="2"/>
        <v>B</v>
      </c>
      <c r="E89" s="5" t="str">
        <f t="shared" si="3"/>
        <v>PASS</v>
      </c>
      <c r="F89" s="5" t="str">
        <f t="shared" si="4"/>
        <v>Good</v>
      </c>
    </row>
    <row r="90" spans="1:6" ht="15" customHeight="1" x14ac:dyDescent="0.35">
      <c r="A90" s="10" t="s">
        <v>88</v>
      </c>
      <c r="B90" s="10" t="s">
        <v>150</v>
      </c>
      <c r="C90" s="11">
        <f>IFERROR(VLOOKUP(A90,A5:H44,8,FALSE()),0)</f>
        <v>72</v>
      </c>
      <c r="D90" s="10" t="str">
        <f t="shared" si="2"/>
        <v>B</v>
      </c>
      <c r="E90" s="10" t="str">
        <f t="shared" si="3"/>
        <v>PASS</v>
      </c>
      <c r="F90" s="10" t="str">
        <f t="shared" si="4"/>
        <v>Good</v>
      </c>
    </row>
    <row r="91" spans="1:6" ht="15" customHeight="1" x14ac:dyDescent="0.35">
      <c r="A91" s="5" t="s">
        <v>89</v>
      </c>
      <c r="B91" s="5" t="s">
        <v>151</v>
      </c>
      <c r="C91" s="6">
        <f>IFERROR(VLOOKUP(A91,A5:H44,8,FALSE()),0)</f>
        <v>75</v>
      </c>
      <c r="D91" s="5" t="str">
        <f t="shared" si="2"/>
        <v>A</v>
      </c>
      <c r="E91" s="5" t="str">
        <f t="shared" si="3"/>
        <v>PASS</v>
      </c>
      <c r="F91" s="5" t="str">
        <f t="shared" si="4"/>
        <v>Very Good</v>
      </c>
    </row>
    <row r="92" spans="1:6" ht="15" customHeight="1" x14ac:dyDescent="0.35">
      <c r="A92" s="10" t="s">
        <v>91</v>
      </c>
      <c r="B92" s="10" t="s">
        <v>124</v>
      </c>
      <c r="C92" s="11">
        <f>IFERROR(VLOOKUP(A92,A5:H44,8,FALSE()),0)</f>
        <v>62.7</v>
      </c>
      <c r="D92" s="10" t="str">
        <f t="shared" si="2"/>
        <v>B</v>
      </c>
      <c r="E92" s="10" t="str">
        <f t="shared" si="3"/>
        <v>PASS</v>
      </c>
      <c r="F92" s="10" t="str">
        <f t="shared" si="4"/>
        <v>Good</v>
      </c>
    </row>
  </sheetData>
  <mergeCells count="5">
    <mergeCell ref="A1:H1"/>
    <mergeCell ref="A3:H3"/>
    <mergeCell ref="A47:H47"/>
    <mergeCell ref="A56:H56"/>
    <mergeCell ref="A61:H6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zoomScale="90" zoomScaleNormal="90" workbookViewId="0">
      <pane ySplit="2" topLeftCell="A28" activePane="bottomLeft" state="frozen"/>
      <selection pane="bottomLeft" activeCell="O37" sqref="O37"/>
    </sheetView>
  </sheetViews>
  <sheetFormatPr defaultColWidth="8.6328125" defaultRowHeight="14.5" x14ac:dyDescent="0.35"/>
  <cols>
    <col min="1" max="1" width="13" style="1" customWidth="1"/>
    <col min="2" max="2" width="22" style="1" customWidth="1"/>
    <col min="3" max="4" width="8" style="1" customWidth="1"/>
    <col min="5" max="6" width="10" style="1" customWidth="1"/>
    <col min="7" max="7" width="8" style="1" customWidth="1"/>
    <col min="8" max="8" width="12" style="1" customWidth="1"/>
  </cols>
  <sheetData>
    <row r="1" spans="1:8" ht="27.75" customHeight="1" x14ac:dyDescent="0.35">
      <c r="A1" s="36" t="s">
        <v>181</v>
      </c>
      <c r="B1" s="36"/>
      <c r="C1" s="36"/>
      <c r="D1" s="36"/>
      <c r="E1" s="36"/>
      <c r="F1" s="36"/>
      <c r="G1" s="36"/>
      <c r="H1" s="36"/>
    </row>
    <row r="2" spans="1:8" ht="21.75" customHeight="1" x14ac:dyDescent="0.35">
      <c r="A2" s="33" t="s">
        <v>1</v>
      </c>
      <c r="B2" s="33" t="s">
        <v>120</v>
      </c>
      <c r="C2" s="33" t="s">
        <v>6</v>
      </c>
      <c r="D2" s="33" t="s">
        <v>8</v>
      </c>
      <c r="E2" s="33" t="s">
        <v>9</v>
      </c>
      <c r="F2" s="33" t="s">
        <v>10</v>
      </c>
      <c r="G2" s="33" t="s">
        <v>121</v>
      </c>
      <c r="H2" s="33" t="s">
        <v>182</v>
      </c>
    </row>
    <row r="3" spans="1:8" ht="15" customHeight="1" x14ac:dyDescent="0.35">
      <c r="A3" s="5" t="s">
        <v>14</v>
      </c>
      <c r="B3" s="4" t="s">
        <v>123</v>
      </c>
      <c r="C3" s="5">
        <v>7</v>
      </c>
      <c r="D3" s="5">
        <v>51</v>
      </c>
      <c r="E3" s="5">
        <v>52</v>
      </c>
      <c r="F3" s="5">
        <v>57</v>
      </c>
      <c r="G3" s="5">
        <f t="shared" ref="G3:G42" si="0">SUM(D3:F3)</f>
        <v>160</v>
      </c>
      <c r="H3" s="5" t="str">
        <f t="shared" ref="H3:H42" si="1">IF(G3/300*100&gt;=33,"PASS","FAIL")</f>
        <v>PASS</v>
      </c>
    </row>
    <row r="4" spans="1:8" ht="15" customHeight="1" x14ac:dyDescent="0.35">
      <c r="A4" s="10" t="s">
        <v>20</v>
      </c>
      <c r="B4" s="9" t="s">
        <v>124</v>
      </c>
      <c r="C4" s="10">
        <v>10</v>
      </c>
      <c r="D4" s="10">
        <v>52</v>
      </c>
      <c r="E4" s="10">
        <v>64</v>
      </c>
      <c r="F4" s="10">
        <v>88</v>
      </c>
      <c r="G4" s="10">
        <f t="shared" si="0"/>
        <v>204</v>
      </c>
      <c r="H4" s="10" t="str">
        <f t="shared" si="1"/>
        <v>PASS</v>
      </c>
    </row>
    <row r="5" spans="1:8" ht="15" customHeight="1" x14ac:dyDescent="0.35">
      <c r="A5" s="5" t="s">
        <v>26</v>
      </c>
      <c r="B5" s="4" t="s">
        <v>125</v>
      </c>
      <c r="C5" s="5">
        <v>7</v>
      </c>
      <c r="D5" s="5">
        <v>82</v>
      </c>
      <c r="E5" s="5">
        <v>49</v>
      </c>
      <c r="F5" s="5">
        <v>96</v>
      </c>
      <c r="G5" s="5">
        <f t="shared" si="0"/>
        <v>227</v>
      </c>
      <c r="H5" s="5" t="str">
        <f t="shared" si="1"/>
        <v>PASS</v>
      </c>
    </row>
    <row r="6" spans="1:8" ht="15" customHeight="1" x14ac:dyDescent="0.35">
      <c r="A6" s="10" t="s">
        <v>29</v>
      </c>
      <c r="B6" s="9" t="s">
        <v>126</v>
      </c>
      <c r="C6" s="10">
        <v>8</v>
      </c>
      <c r="D6" s="10">
        <v>42</v>
      </c>
      <c r="E6" s="10">
        <v>55</v>
      </c>
      <c r="F6" s="10">
        <v>77</v>
      </c>
      <c r="G6" s="10">
        <f t="shared" si="0"/>
        <v>174</v>
      </c>
      <c r="H6" s="10" t="str">
        <f t="shared" si="1"/>
        <v>PASS</v>
      </c>
    </row>
    <row r="7" spans="1:8" ht="15" customHeight="1" x14ac:dyDescent="0.35">
      <c r="A7" s="5" t="s">
        <v>32</v>
      </c>
      <c r="B7" s="4" t="s">
        <v>127</v>
      </c>
      <c r="C7" s="5">
        <v>7</v>
      </c>
      <c r="D7" s="5">
        <v>69</v>
      </c>
      <c r="E7" s="5">
        <v>100</v>
      </c>
      <c r="F7" s="5">
        <v>45</v>
      </c>
      <c r="G7" s="5">
        <f t="shared" si="0"/>
        <v>214</v>
      </c>
      <c r="H7" s="5" t="str">
        <f t="shared" si="1"/>
        <v>PASS</v>
      </c>
    </row>
    <row r="8" spans="1:8" ht="15" customHeight="1" x14ac:dyDescent="0.35">
      <c r="A8" s="10" t="s">
        <v>35</v>
      </c>
      <c r="B8" s="9" t="s">
        <v>128</v>
      </c>
      <c r="C8" s="10">
        <v>7</v>
      </c>
      <c r="D8" s="10">
        <v>82</v>
      </c>
      <c r="E8" s="10">
        <v>49</v>
      </c>
      <c r="F8" s="10">
        <v>44</v>
      </c>
      <c r="G8" s="10">
        <f t="shared" si="0"/>
        <v>175</v>
      </c>
      <c r="H8" s="10" t="str">
        <f t="shared" si="1"/>
        <v>PASS</v>
      </c>
    </row>
    <row r="9" spans="1:8" ht="15" customHeight="1" x14ac:dyDescent="0.35">
      <c r="A9" s="5" t="s">
        <v>38</v>
      </c>
      <c r="B9" s="4" t="s">
        <v>129</v>
      </c>
      <c r="C9" s="5">
        <v>7</v>
      </c>
      <c r="D9" s="5">
        <v>79</v>
      </c>
      <c r="E9" s="5">
        <v>38</v>
      </c>
      <c r="F9" s="5">
        <v>66</v>
      </c>
      <c r="G9" s="5">
        <f t="shared" si="0"/>
        <v>183</v>
      </c>
      <c r="H9" s="5" t="str">
        <f t="shared" si="1"/>
        <v>PASS</v>
      </c>
    </row>
    <row r="10" spans="1:8" ht="15" customHeight="1" x14ac:dyDescent="0.35">
      <c r="A10" s="10" t="s">
        <v>40</v>
      </c>
      <c r="B10" s="9" t="s">
        <v>130</v>
      </c>
      <c r="C10" s="10">
        <v>8</v>
      </c>
      <c r="D10" s="10">
        <v>65</v>
      </c>
      <c r="E10" s="10">
        <v>90</v>
      </c>
      <c r="F10" s="10">
        <v>90</v>
      </c>
      <c r="G10" s="10">
        <f t="shared" si="0"/>
        <v>245</v>
      </c>
      <c r="H10" s="10" t="str">
        <f t="shared" si="1"/>
        <v>PASS</v>
      </c>
    </row>
    <row r="11" spans="1:8" ht="15" customHeight="1" x14ac:dyDescent="0.35">
      <c r="A11" s="5" t="s">
        <v>43</v>
      </c>
      <c r="B11" s="4" t="s">
        <v>131</v>
      </c>
      <c r="C11" s="5">
        <v>10</v>
      </c>
      <c r="D11" s="5">
        <v>47</v>
      </c>
      <c r="E11" s="5">
        <v>44</v>
      </c>
      <c r="F11" s="5">
        <v>49</v>
      </c>
      <c r="G11" s="5">
        <f t="shared" si="0"/>
        <v>140</v>
      </c>
      <c r="H11" s="5" t="str">
        <f t="shared" si="1"/>
        <v>PASS</v>
      </c>
    </row>
    <row r="12" spans="1:8" ht="15" customHeight="1" x14ac:dyDescent="0.35">
      <c r="A12" s="10" t="s">
        <v>46</v>
      </c>
      <c r="B12" s="9" t="s">
        <v>132</v>
      </c>
      <c r="C12" s="10">
        <v>8</v>
      </c>
      <c r="D12" s="10">
        <v>91</v>
      </c>
      <c r="E12" s="10">
        <v>52</v>
      </c>
      <c r="F12" s="10">
        <v>96</v>
      </c>
      <c r="G12" s="10">
        <f t="shared" si="0"/>
        <v>239</v>
      </c>
      <c r="H12" s="10" t="str">
        <f t="shared" si="1"/>
        <v>PASS</v>
      </c>
    </row>
    <row r="13" spans="1:8" ht="15" customHeight="1" x14ac:dyDescent="0.35">
      <c r="A13" s="5" t="s">
        <v>48</v>
      </c>
      <c r="B13" s="4" t="s">
        <v>133</v>
      </c>
      <c r="C13" s="5">
        <v>8</v>
      </c>
      <c r="D13" s="5">
        <v>77</v>
      </c>
      <c r="E13" s="5">
        <v>91</v>
      </c>
      <c r="F13" s="5">
        <v>45</v>
      </c>
      <c r="G13" s="5">
        <f t="shared" si="0"/>
        <v>213</v>
      </c>
      <c r="H13" s="5" t="str">
        <f t="shared" si="1"/>
        <v>PASS</v>
      </c>
    </row>
    <row r="14" spans="1:8" ht="15" customHeight="1" x14ac:dyDescent="0.35">
      <c r="A14" s="10" t="s">
        <v>51</v>
      </c>
      <c r="B14" s="9" t="s">
        <v>134</v>
      </c>
      <c r="C14" s="10">
        <v>10</v>
      </c>
      <c r="D14" s="10">
        <v>51</v>
      </c>
      <c r="E14" s="10">
        <v>94</v>
      </c>
      <c r="F14" s="10">
        <v>44</v>
      </c>
      <c r="G14" s="10">
        <f t="shared" si="0"/>
        <v>189</v>
      </c>
      <c r="H14" s="10" t="str">
        <f t="shared" si="1"/>
        <v>PASS</v>
      </c>
    </row>
    <row r="15" spans="1:8" ht="15" customHeight="1" x14ac:dyDescent="0.35">
      <c r="A15" s="5" t="s">
        <v>54</v>
      </c>
      <c r="B15" s="4" t="s">
        <v>135</v>
      </c>
      <c r="C15" s="5">
        <v>8</v>
      </c>
      <c r="D15" s="5">
        <v>95</v>
      </c>
      <c r="E15" s="5">
        <v>82</v>
      </c>
      <c r="F15" s="5">
        <v>88</v>
      </c>
      <c r="G15" s="5">
        <f t="shared" si="0"/>
        <v>265</v>
      </c>
      <c r="H15" s="5" t="str">
        <f t="shared" si="1"/>
        <v>PASS</v>
      </c>
    </row>
    <row r="16" spans="1:8" ht="15" customHeight="1" x14ac:dyDescent="0.35">
      <c r="A16" s="10" t="s">
        <v>57</v>
      </c>
      <c r="B16" s="9" t="s">
        <v>136</v>
      </c>
      <c r="C16" s="10">
        <v>8</v>
      </c>
      <c r="D16" s="10">
        <v>88</v>
      </c>
      <c r="E16" s="10">
        <v>99</v>
      </c>
      <c r="F16" s="10">
        <v>47</v>
      </c>
      <c r="G16" s="10">
        <f t="shared" si="0"/>
        <v>234</v>
      </c>
      <c r="H16" s="10" t="str">
        <f t="shared" si="1"/>
        <v>PASS</v>
      </c>
    </row>
    <row r="17" spans="1:8" ht="15" customHeight="1" x14ac:dyDescent="0.35">
      <c r="A17" s="5" t="s">
        <v>59</v>
      </c>
      <c r="B17" s="4" t="s">
        <v>137</v>
      </c>
      <c r="C17" s="5">
        <v>8</v>
      </c>
      <c r="D17" s="5">
        <v>74</v>
      </c>
      <c r="E17" s="5">
        <v>46</v>
      </c>
      <c r="F17" s="5">
        <v>99</v>
      </c>
      <c r="G17" s="5">
        <f t="shared" si="0"/>
        <v>219</v>
      </c>
      <c r="H17" s="5" t="str">
        <f t="shared" si="1"/>
        <v>PASS</v>
      </c>
    </row>
    <row r="18" spans="1:8" ht="15" customHeight="1" x14ac:dyDescent="0.35">
      <c r="A18" s="10" t="s">
        <v>62</v>
      </c>
      <c r="B18" s="9" t="s">
        <v>138</v>
      </c>
      <c r="C18" s="10">
        <v>8</v>
      </c>
      <c r="D18" s="10">
        <v>83</v>
      </c>
      <c r="E18" s="10">
        <v>81</v>
      </c>
      <c r="F18" s="10">
        <v>80</v>
      </c>
      <c r="G18" s="10">
        <f t="shared" si="0"/>
        <v>244</v>
      </c>
      <c r="H18" s="10" t="str">
        <f t="shared" si="1"/>
        <v>PASS</v>
      </c>
    </row>
    <row r="19" spans="1:8" ht="15" customHeight="1" x14ac:dyDescent="0.35">
      <c r="A19" s="5" t="s">
        <v>65</v>
      </c>
      <c r="B19" s="4" t="s">
        <v>139</v>
      </c>
      <c r="C19" s="5">
        <v>7</v>
      </c>
      <c r="D19" s="5">
        <v>40</v>
      </c>
      <c r="E19" s="5">
        <v>80</v>
      </c>
      <c r="F19" s="5">
        <v>64</v>
      </c>
      <c r="G19" s="5">
        <f t="shared" si="0"/>
        <v>184</v>
      </c>
      <c r="H19" s="5" t="str">
        <f t="shared" si="1"/>
        <v>PASS</v>
      </c>
    </row>
    <row r="20" spans="1:8" ht="15" customHeight="1" x14ac:dyDescent="0.35">
      <c r="A20" s="10" t="s">
        <v>67</v>
      </c>
      <c r="B20" s="9" t="s">
        <v>140</v>
      </c>
      <c r="C20" s="10">
        <v>9</v>
      </c>
      <c r="D20" s="10">
        <v>88</v>
      </c>
      <c r="E20" s="10">
        <v>93</v>
      </c>
      <c r="F20" s="10">
        <v>87</v>
      </c>
      <c r="G20" s="10">
        <f t="shared" si="0"/>
        <v>268</v>
      </c>
      <c r="H20" s="10" t="str">
        <f t="shared" si="1"/>
        <v>PASS</v>
      </c>
    </row>
    <row r="21" spans="1:8" ht="15" customHeight="1" x14ac:dyDescent="0.35">
      <c r="A21" s="5" t="s">
        <v>70</v>
      </c>
      <c r="B21" s="4" t="s">
        <v>141</v>
      </c>
      <c r="C21" s="5">
        <v>10</v>
      </c>
      <c r="D21" s="5">
        <v>52</v>
      </c>
      <c r="E21" s="5">
        <v>38</v>
      </c>
      <c r="F21" s="5">
        <v>75</v>
      </c>
      <c r="G21" s="5">
        <f t="shared" si="0"/>
        <v>165</v>
      </c>
      <c r="H21" s="5" t="str">
        <f t="shared" si="1"/>
        <v>PASS</v>
      </c>
    </row>
    <row r="22" spans="1:8" ht="15" customHeight="1" x14ac:dyDescent="0.35">
      <c r="A22" s="10" t="s">
        <v>73</v>
      </c>
      <c r="B22" s="9" t="s">
        <v>142</v>
      </c>
      <c r="C22" s="10">
        <v>8</v>
      </c>
      <c r="D22" s="10">
        <v>94</v>
      </c>
      <c r="E22" s="10">
        <v>85</v>
      </c>
      <c r="F22" s="10">
        <v>68</v>
      </c>
      <c r="G22" s="10">
        <f t="shared" si="0"/>
        <v>247</v>
      </c>
      <c r="H22" s="10" t="str">
        <f t="shared" si="1"/>
        <v>PASS</v>
      </c>
    </row>
    <row r="23" spans="1:8" ht="15" customHeight="1" x14ac:dyDescent="0.35">
      <c r="A23" s="5" t="s">
        <v>74</v>
      </c>
      <c r="B23" s="4" t="s">
        <v>143</v>
      </c>
      <c r="C23" s="5">
        <v>7</v>
      </c>
      <c r="D23" s="5">
        <v>41</v>
      </c>
      <c r="E23" s="5">
        <v>44</v>
      </c>
      <c r="F23" s="5">
        <v>93</v>
      </c>
      <c r="G23" s="5">
        <f t="shared" si="0"/>
        <v>178</v>
      </c>
      <c r="H23" s="5" t="str">
        <f t="shared" si="1"/>
        <v>PASS</v>
      </c>
    </row>
    <row r="24" spans="1:8" ht="15" customHeight="1" x14ac:dyDescent="0.35">
      <c r="A24" s="10" t="s">
        <v>75</v>
      </c>
      <c r="B24" s="9" t="s">
        <v>144</v>
      </c>
      <c r="C24" s="10">
        <v>10</v>
      </c>
      <c r="D24" s="10">
        <v>100</v>
      </c>
      <c r="E24" s="10">
        <v>83</v>
      </c>
      <c r="F24" s="10">
        <v>79</v>
      </c>
      <c r="G24" s="10">
        <f t="shared" si="0"/>
        <v>262</v>
      </c>
      <c r="H24" s="10" t="str">
        <f t="shared" si="1"/>
        <v>PASS</v>
      </c>
    </row>
    <row r="25" spans="1:8" ht="15" customHeight="1" x14ac:dyDescent="0.35">
      <c r="A25" s="5" t="s">
        <v>77</v>
      </c>
      <c r="B25" s="4" t="s">
        <v>145</v>
      </c>
      <c r="C25" s="5">
        <v>9</v>
      </c>
      <c r="D25" s="5">
        <v>48</v>
      </c>
      <c r="E25" s="5">
        <v>94</v>
      </c>
      <c r="F25" s="5">
        <v>50</v>
      </c>
      <c r="G25" s="5">
        <f t="shared" si="0"/>
        <v>192</v>
      </c>
      <c r="H25" s="5" t="str">
        <f t="shared" si="1"/>
        <v>PASS</v>
      </c>
    </row>
    <row r="26" spans="1:8" ht="15" customHeight="1" x14ac:dyDescent="0.35">
      <c r="A26" s="10" t="s">
        <v>79</v>
      </c>
      <c r="B26" s="9" t="s">
        <v>146</v>
      </c>
      <c r="C26" s="10">
        <v>7</v>
      </c>
      <c r="D26" s="10">
        <v>56</v>
      </c>
      <c r="E26" s="10">
        <v>51</v>
      </c>
      <c r="F26" s="10">
        <v>59</v>
      </c>
      <c r="G26" s="10">
        <f t="shared" si="0"/>
        <v>166</v>
      </c>
      <c r="H26" s="10" t="str">
        <f t="shared" si="1"/>
        <v>PASS</v>
      </c>
    </row>
    <row r="27" spans="1:8" ht="15" customHeight="1" x14ac:dyDescent="0.35">
      <c r="A27" s="5" t="s">
        <v>80</v>
      </c>
      <c r="B27" s="4" t="s">
        <v>147</v>
      </c>
      <c r="C27" s="5">
        <v>9</v>
      </c>
      <c r="D27" s="5">
        <v>50</v>
      </c>
      <c r="E27" s="5">
        <v>100</v>
      </c>
      <c r="F27" s="5">
        <v>46</v>
      </c>
      <c r="G27" s="5">
        <f t="shared" si="0"/>
        <v>196</v>
      </c>
      <c r="H27" s="5" t="str">
        <f t="shared" si="1"/>
        <v>PASS</v>
      </c>
    </row>
    <row r="28" spans="1:8" ht="15" customHeight="1" x14ac:dyDescent="0.35">
      <c r="A28" s="10" t="s">
        <v>83</v>
      </c>
      <c r="B28" s="10" t="s">
        <v>148</v>
      </c>
      <c r="C28" s="10">
        <v>6</v>
      </c>
      <c r="D28" s="10">
        <v>81</v>
      </c>
      <c r="E28" s="10">
        <v>84</v>
      </c>
      <c r="F28" s="10">
        <v>42</v>
      </c>
      <c r="G28" s="10">
        <f t="shared" si="0"/>
        <v>207</v>
      </c>
      <c r="H28" s="10" t="str">
        <f t="shared" si="1"/>
        <v>PASS</v>
      </c>
    </row>
    <row r="29" spans="1:8" ht="15" customHeight="1" x14ac:dyDescent="0.35">
      <c r="A29" s="5" t="s">
        <v>85</v>
      </c>
      <c r="B29" s="5" t="s">
        <v>149</v>
      </c>
      <c r="C29" s="5">
        <v>8</v>
      </c>
      <c r="D29" s="5">
        <v>48</v>
      </c>
      <c r="E29" s="5">
        <v>75</v>
      </c>
      <c r="F29" s="5">
        <v>100</v>
      </c>
      <c r="G29" s="5">
        <f t="shared" si="0"/>
        <v>223</v>
      </c>
      <c r="H29" s="5" t="str">
        <f t="shared" si="1"/>
        <v>PASS</v>
      </c>
    </row>
    <row r="30" spans="1:8" ht="15" customHeight="1" x14ac:dyDescent="0.35">
      <c r="A30" s="10" t="s">
        <v>88</v>
      </c>
      <c r="B30" s="10" t="s">
        <v>150</v>
      </c>
      <c r="C30" s="10">
        <v>7</v>
      </c>
      <c r="D30" s="10">
        <v>43</v>
      </c>
      <c r="E30" s="10">
        <v>82</v>
      </c>
      <c r="F30" s="10">
        <v>91</v>
      </c>
      <c r="G30" s="10">
        <f t="shared" si="0"/>
        <v>216</v>
      </c>
      <c r="H30" s="10" t="str">
        <f t="shared" si="1"/>
        <v>PASS</v>
      </c>
    </row>
    <row r="31" spans="1:8" ht="15" customHeight="1" x14ac:dyDescent="0.35">
      <c r="A31" s="5" t="s">
        <v>89</v>
      </c>
      <c r="B31" s="5" t="s">
        <v>151</v>
      </c>
      <c r="C31" s="5">
        <v>8</v>
      </c>
      <c r="D31" s="5">
        <v>75</v>
      </c>
      <c r="E31" s="5">
        <v>96</v>
      </c>
      <c r="F31" s="5">
        <v>54</v>
      </c>
      <c r="G31" s="5">
        <f t="shared" si="0"/>
        <v>225</v>
      </c>
      <c r="H31" s="5" t="str">
        <f t="shared" si="1"/>
        <v>PASS</v>
      </c>
    </row>
    <row r="32" spans="1:8" ht="15" customHeight="1" x14ac:dyDescent="0.35">
      <c r="A32" s="10" t="s">
        <v>91</v>
      </c>
      <c r="B32" s="10" t="s">
        <v>124</v>
      </c>
      <c r="C32" s="10">
        <v>6</v>
      </c>
      <c r="D32" s="10">
        <v>48</v>
      </c>
      <c r="E32" s="10">
        <v>90</v>
      </c>
      <c r="F32" s="10">
        <v>50</v>
      </c>
      <c r="G32" s="10">
        <f t="shared" si="0"/>
        <v>188</v>
      </c>
      <c r="H32" s="10" t="str">
        <f t="shared" si="1"/>
        <v>PASS</v>
      </c>
    </row>
    <row r="33" spans="1:8" ht="15" customHeight="1" x14ac:dyDescent="0.35">
      <c r="A33" s="5" t="s">
        <v>92</v>
      </c>
      <c r="B33" s="5" t="s">
        <v>152</v>
      </c>
      <c r="C33" s="5">
        <v>8</v>
      </c>
      <c r="D33" s="5">
        <v>54</v>
      </c>
      <c r="E33" s="5">
        <v>77</v>
      </c>
      <c r="F33" s="5">
        <v>80</v>
      </c>
      <c r="G33" s="5">
        <f t="shared" si="0"/>
        <v>211</v>
      </c>
      <c r="H33" s="5" t="str">
        <f t="shared" si="1"/>
        <v>PASS</v>
      </c>
    </row>
    <row r="34" spans="1:8" ht="15" customHeight="1" x14ac:dyDescent="0.35">
      <c r="A34" s="10" t="s">
        <v>93</v>
      </c>
      <c r="B34" s="10" t="s">
        <v>153</v>
      </c>
      <c r="C34" s="10">
        <v>8</v>
      </c>
      <c r="D34" s="10">
        <v>87</v>
      </c>
      <c r="E34" s="10">
        <v>45</v>
      </c>
      <c r="F34" s="10">
        <v>51</v>
      </c>
      <c r="G34" s="10">
        <f t="shared" si="0"/>
        <v>183</v>
      </c>
      <c r="H34" s="10" t="str">
        <f t="shared" si="1"/>
        <v>PASS</v>
      </c>
    </row>
    <row r="35" spans="1:8" ht="15" customHeight="1" x14ac:dyDescent="0.35">
      <c r="A35" s="5" t="s">
        <v>94</v>
      </c>
      <c r="B35" s="5" t="s">
        <v>154</v>
      </c>
      <c r="C35" s="5">
        <v>7</v>
      </c>
      <c r="D35" s="5">
        <v>68</v>
      </c>
      <c r="E35" s="5">
        <v>84</v>
      </c>
      <c r="F35" s="5">
        <v>92</v>
      </c>
      <c r="G35" s="5">
        <f t="shared" si="0"/>
        <v>244</v>
      </c>
      <c r="H35" s="5" t="str">
        <f t="shared" si="1"/>
        <v>PASS</v>
      </c>
    </row>
    <row r="36" spans="1:8" ht="15" customHeight="1" x14ac:dyDescent="0.35">
      <c r="A36" s="10" t="s">
        <v>95</v>
      </c>
      <c r="B36" s="10" t="s">
        <v>155</v>
      </c>
      <c r="C36" s="10">
        <v>8</v>
      </c>
      <c r="D36" s="10">
        <v>60</v>
      </c>
      <c r="E36" s="10">
        <v>75</v>
      </c>
      <c r="F36" s="10">
        <v>44</v>
      </c>
      <c r="G36" s="10">
        <f t="shared" si="0"/>
        <v>179</v>
      </c>
      <c r="H36" s="10" t="str">
        <f t="shared" si="1"/>
        <v>PASS</v>
      </c>
    </row>
    <row r="37" spans="1:8" ht="15" customHeight="1" x14ac:dyDescent="0.35">
      <c r="A37" s="5" t="s">
        <v>96</v>
      </c>
      <c r="B37" s="5" t="s">
        <v>156</v>
      </c>
      <c r="C37" s="5">
        <v>10</v>
      </c>
      <c r="D37" s="5">
        <v>58</v>
      </c>
      <c r="E37" s="5">
        <v>45</v>
      </c>
      <c r="F37" s="5">
        <v>73</v>
      </c>
      <c r="G37" s="5">
        <f t="shared" si="0"/>
        <v>176</v>
      </c>
      <c r="H37" s="5" t="str">
        <f t="shared" si="1"/>
        <v>PASS</v>
      </c>
    </row>
    <row r="38" spans="1:8" ht="15" customHeight="1" x14ac:dyDescent="0.35">
      <c r="A38" s="10" t="s">
        <v>97</v>
      </c>
      <c r="B38" s="10" t="s">
        <v>157</v>
      </c>
      <c r="C38" s="10">
        <v>8</v>
      </c>
      <c r="D38" s="10">
        <v>64</v>
      </c>
      <c r="E38" s="10">
        <v>90</v>
      </c>
      <c r="F38" s="10">
        <v>59</v>
      </c>
      <c r="G38" s="10">
        <f t="shared" si="0"/>
        <v>213</v>
      </c>
      <c r="H38" s="10" t="str">
        <f t="shared" si="1"/>
        <v>PASS</v>
      </c>
    </row>
    <row r="39" spans="1:8" ht="15" customHeight="1" x14ac:dyDescent="0.35">
      <c r="A39" s="5" t="s">
        <v>98</v>
      </c>
      <c r="B39" s="5" t="s">
        <v>158</v>
      </c>
      <c r="C39" s="5">
        <v>9</v>
      </c>
      <c r="D39" s="5">
        <v>85</v>
      </c>
      <c r="E39" s="5">
        <v>95</v>
      </c>
      <c r="F39" s="5">
        <v>91</v>
      </c>
      <c r="G39" s="5">
        <f t="shared" si="0"/>
        <v>271</v>
      </c>
      <c r="H39" s="5" t="str">
        <f t="shared" si="1"/>
        <v>PASS</v>
      </c>
    </row>
    <row r="40" spans="1:8" ht="15" customHeight="1" x14ac:dyDescent="0.35">
      <c r="A40" s="10" t="s">
        <v>99</v>
      </c>
      <c r="B40" s="10" t="s">
        <v>159</v>
      </c>
      <c r="C40" s="10">
        <v>7</v>
      </c>
      <c r="D40" s="10">
        <v>46</v>
      </c>
      <c r="E40" s="10">
        <v>65</v>
      </c>
      <c r="F40" s="10">
        <v>42</v>
      </c>
      <c r="G40" s="10">
        <f t="shared" si="0"/>
        <v>153</v>
      </c>
      <c r="H40" s="10" t="str">
        <f t="shared" si="1"/>
        <v>PASS</v>
      </c>
    </row>
    <row r="41" spans="1:8" ht="15" customHeight="1" x14ac:dyDescent="0.35">
      <c r="A41" s="5" t="s">
        <v>100</v>
      </c>
      <c r="B41" s="5" t="s">
        <v>160</v>
      </c>
      <c r="C41" s="5">
        <v>8</v>
      </c>
      <c r="D41" s="5">
        <v>77</v>
      </c>
      <c r="E41" s="5">
        <v>86</v>
      </c>
      <c r="F41" s="5">
        <v>69</v>
      </c>
      <c r="G41" s="5">
        <f t="shared" si="0"/>
        <v>232</v>
      </c>
      <c r="H41" s="5" t="str">
        <f t="shared" si="1"/>
        <v>PASS</v>
      </c>
    </row>
    <row r="42" spans="1:8" ht="15" customHeight="1" x14ac:dyDescent="0.35">
      <c r="A42" s="10" t="s">
        <v>102</v>
      </c>
      <c r="B42" s="10" t="s">
        <v>161</v>
      </c>
      <c r="C42" s="10">
        <v>7</v>
      </c>
      <c r="D42" s="10">
        <v>54</v>
      </c>
      <c r="E42" s="10">
        <v>59</v>
      </c>
      <c r="F42" s="10">
        <v>69</v>
      </c>
      <c r="G42" s="10">
        <f t="shared" si="0"/>
        <v>182</v>
      </c>
      <c r="H42" s="10" t="str">
        <f t="shared" si="1"/>
        <v>PASS</v>
      </c>
    </row>
    <row r="43" spans="1:8" ht="15" customHeight="1" x14ac:dyDescent="0.35">
      <c r="A43" s="22"/>
    </row>
    <row r="44" spans="1:8" ht="15" customHeight="1" x14ac:dyDescent="0.35">
      <c r="A44" s="23"/>
      <c r="B44" s="24"/>
    </row>
    <row r="45" spans="1:8" ht="15" customHeight="1" x14ac:dyDescent="0.35">
      <c r="A45" s="23"/>
      <c r="B45" s="24"/>
    </row>
    <row r="46" spans="1:8" ht="15" customHeight="1" x14ac:dyDescent="0.35">
      <c r="A46" s="23"/>
      <c r="B46" s="24"/>
    </row>
    <row r="47" spans="1:8" ht="15" customHeight="1" x14ac:dyDescent="0.35">
      <c r="A47" s="23"/>
      <c r="B47" s="24"/>
    </row>
  </sheetData>
  <mergeCells count="1">
    <mergeCell ref="A1:H1"/>
  </mergeCells>
  <conditionalFormatting sqref="D3:D42">
    <cfRule type="colorScale" priority="2">
      <colorScale>
        <cfvo type="min"/>
        <cfvo type="percentile" val="50"/>
        <cfvo type="max"/>
        <color rgb="FFF4CCCC"/>
        <color rgb="FFFFE599"/>
        <color rgb="FFB7E1CD"/>
      </colorScale>
    </cfRule>
  </conditionalFormatting>
  <conditionalFormatting sqref="E3:E42">
    <cfRule type="dataBar" priority="3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{A04788A7-4F43-4311-9CB0-4A5527CE7AB1}</x14:id>
        </ext>
      </extLst>
    </cfRule>
  </conditionalFormatting>
  <conditionalFormatting sqref="F3:F42">
    <cfRule type="colorScale" priority="4">
      <colorScale>
        <cfvo type="min"/>
        <cfvo type="max"/>
        <color rgb="FFFCE5CD"/>
        <color rgb="FF0B5394"/>
      </colorScale>
    </cfRule>
  </conditionalFormatting>
  <conditionalFormatting sqref="H3:H42">
    <cfRule type="cellIs" dxfId="1" priority="5" operator="equal">
      <formula>"PASS"</formula>
    </cfRule>
    <cfRule type="cellIs" dxfId="0" priority="6" operator="equal">
      <formula>"FAIL"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788A7-4F43-4311-9CB0-4A5527CE7AB1}">
            <x14:dataBar axisPosition="none">
              <x14:cfvo type="min"/>
              <x14:cfvo type="max"/>
              <x14:negativeFillColor rgb="FF4472C4"/>
            </x14:dataBar>
          </x14:cfRule>
          <xm:sqref>E3:E42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opLeftCell="A19" zoomScale="90" zoomScaleNormal="90" workbookViewId="0">
      <selection activeCell="B20" sqref="B20"/>
    </sheetView>
  </sheetViews>
  <sheetFormatPr defaultColWidth="8.6328125" defaultRowHeight="14.5" x14ac:dyDescent="0.35"/>
  <cols>
    <col min="1" max="3" width="14" style="1" customWidth="1"/>
  </cols>
  <sheetData>
    <row r="1" spans="1:22" ht="27.75" customHeight="1" x14ac:dyDescent="0.35">
      <c r="A1" s="36" t="s">
        <v>183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3" spans="1:22" ht="15" customHeight="1" x14ac:dyDescent="0.35">
      <c r="A3" s="54" t="s">
        <v>6</v>
      </c>
      <c r="B3" s="54" t="s">
        <v>184</v>
      </c>
      <c r="C3" s="54" t="s">
        <v>185</v>
      </c>
    </row>
    <row r="4" spans="1:22" ht="15" customHeight="1" x14ac:dyDescent="0.35">
      <c r="A4" s="31" t="s">
        <v>186</v>
      </c>
      <c r="B4" s="31">
        <f>COUNTIF('Student Data'!F3:F52,6)</f>
        <v>4</v>
      </c>
      <c r="C4" s="31">
        <f>IFERROR(ROUND(AVERAGEIF('Student Data'!F3:F52,6,'Student Data'!H3:H52),1),0)</f>
        <v>59.3</v>
      </c>
    </row>
    <row r="5" spans="1:22" ht="15" customHeight="1" x14ac:dyDescent="0.35">
      <c r="A5" s="31" t="s">
        <v>187</v>
      </c>
      <c r="B5" s="31">
        <f>COUNTIF('Student Data'!F3:F52,7)</f>
        <v>16</v>
      </c>
      <c r="C5" s="31">
        <f>IFERROR(ROUND(AVERAGEIF('Student Data'!F3:F52,7,'Student Data'!H3:H52),1),0)</f>
        <v>60.8</v>
      </c>
    </row>
    <row r="6" spans="1:22" ht="15" customHeight="1" x14ac:dyDescent="0.35">
      <c r="A6" s="31" t="s">
        <v>188</v>
      </c>
      <c r="B6" s="31">
        <f>COUNTIF('Student Data'!F3:F52,8)</f>
        <v>17</v>
      </c>
      <c r="C6" s="31">
        <f>IFERROR(ROUND(AVERAGEIF('Student Data'!F3:F52,8,'Student Data'!H3:H52),1),0)</f>
        <v>74.099999999999994</v>
      </c>
    </row>
    <row r="7" spans="1:22" ht="15" customHeight="1" x14ac:dyDescent="0.35">
      <c r="A7" s="31" t="s">
        <v>189</v>
      </c>
      <c r="B7" s="31">
        <f>COUNTIF('Student Data'!F3:F52,9)</f>
        <v>5</v>
      </c>
      <c r="C7" s="31">
        <f>IFERROR(ROUND(AVERAGEIF('Student Data'!F3:F52,9,'Student Data'!H3:H52),1),0)</f>
        <v>63.4</v>
      </c>
    </row>
    <row r="8" spans="1:22" ht="15" customHeight="1" x14ac:dyDescent="0.35">
      <c r="A8" s="31" t="s">
        <v>190</v>
      </c>
      <c r="B8" s="31">
        <f>COUNTIF('Student Data'!F3:F52,10)</f>
        <v>8</v>
      </c>
      <c r="C8" s="31">
        <f>IFERROR(ROUND(AVERAGEIF('Student Data'!F3:F52,10,'Student Data'!H3:H52),1),0)</f>
        <v>62</v>
      </c>
    </row>
    <row r="10" spans="1:22" ht="15" customHeight="1" x14ac:dyDescent="0.35"/>
    <row r="11" spans="1:22" ht="15" customHeight="1" x14ac:dyDescent="0.35"/>
    <row r="12" spans="1:22" ht="15" customHeight="1" x14ac:dyDescent="0.35">
      <c r="C12" s="53"/>
    </row>
    <row r="13" spans="1:22" ht="15" customHeight="1" x14ac:dyDescent="0.35"/>
    <row r="20" spans="1:2" x14ac:dyDescent="0.35">
      <c r="A20" s="54" t="s">
        <v>13</v>
      </c>
      <c r="B20" s="54" t="s">
        <v>179</v>
      </c>
    </row>
    <row r="21" spans="1:2" x14ac:dyDescent="0.35">
      <c r="A21" s="31" t="s">
        <v>19</v>
      </c>
      <c r="B21" s="31">
        <f>COUNTIF('Student Data'!M3:M52,"Paid")</f>
        <v>28</v>
      </c>
    </row>
    <row r="22" spans="1:2" x14ac:dyDescent="0.35">
      <c r="A22" s="31" t="s">
        <v>25</v>
      </c>
      <c r="B22" s="31">
        <f>COUNTIF('Student Data'!M3:M52,"Pending")</f>
        <v>8</v>
      </c>
    </row>
    <row r="23" spans="1:2" x14ac:dyDescent="0.35">
      <c r="A23" s="31" t="s">
        <v>28</v>
      </c>
      <c r="B23" s="31">
        <f>COUNTIF('Student Data'!M3:M52,"Partial")</f>
        <v>14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A2" zoomScale="90" zoomScaleNormal="90" workbookViewId="0">
      <selection activeCell="K10" sqref="K10"/>
    </sheetView>
  </sheetViews>
  <sheetFormatPr defaultColWidth="8.6328125" defaultRowHeight="14.5" x14ac:dyDescent="0.35"/>
  <cols>
    <col min="1" max="1" width="16" style="1" customWidth="1"/>
    <col min="2" max="5" width="8" style="1" customWidth="1"/>
    <col min="7" max="7" width="16" style="1" customWidth="1"/>
    <col min="8" max="8" width="9" style="1" customWidth="1"/>
    <col min="9" max="9" width="10" style="1" customWidth="1"/>
    <col min="10" max="10" width="9" style="1" customWidth="1"/>
    <col min="11" max="11" width="8" style="1" customWidth="1"/>
  </cols>
  <sheetData>
    <row r="1" spans="1:12" ht="27.75" customHeight="1" x14ac:dyDescent="0.35">
      <c r="A1" s="39" t="s">
        <v>203</v>
      </c>
      <c r="B1" s="39"/>
      <c r="C1" s="39"/>
      <c r="D1" s="39"/>
      <c r="E1" s="39"/>
      <c r="F1" s="39"/>
      <c r="G1" s="39"/>
      <c r="H1" s="39"/>
      <c r="I1" s="39"/>
      <c r="J1" s="39"/>
    </row>
    <row r="3" spans="1:12" ht="15" customHeight="1" x14ac:dyDescent="0.35">
      <c r="A3" s="55" t="s">
        <v>191</v>
      </c>
      <c r="B3" s="55"/>
      <c r="C3" s="55"/>
      <c r="D3" s="55"/>
      <c r="E3" s="55"/>
      <c r="G3" s="55" t="s">
        <v>192</v>
      </c>
      <c r="H3" s="55"/>
      <c r="I3" s="55"/>
      <c r="J3" s="55"/>
      <c r="K3" s="55"/>
    </row>
    <row r="4" spans="1:12" ht="15" customHeight="1" x14ac:dyDescent="0.35">
      <c r="A4" s="59" t="s">
        <v>193</v>
      </c>
      <c r="B4" s="59" t="s">
        <v>50</v>
      </c>
      <c r="C4" s="59" t="s">
        <v>24</v>
      </c>
      <c r="D4" s="59" t="s">
        <v>18</v>
      </c>
      <c r="E4" s="59" t="s">
        <v>121</v>
      </c>
      <c r="G4" s="59" t="s">
        <v>194</v>
      </c>
      <c r="H4" s="59" t="s">
        <v>19</v>
      </c>
      <c r="I4" s="59" t="s">
        <v>25</v>
      </c>
      <c r="J4" s="59" t="s">
        <v>28</v>
      </c>
      <c r="K4" s="59" t="s">
        <v>121</v>
      </c>
    </row>
    <row r="5" spans="1:12" ht="19.5" customHeight="1" x14ac:dyDescent="0.35">
      <c r="A5" s="19" t="s">
        <v>186</v>
      </c>
      <c r="B5" s="5">
        <f>COUNTIFS('Student Data'!F3:F52,6,'Student Data'!G3:G52,"A")</f>
        <v>1</v>
      </c>
      <c r="C5" s="5">
        <f>COUNTIFS('Student Data'!F3:F52,6,'Student Data'!G3:G52,"B")</f>
        <v>1</v>
      </c>
      <c r="D5" s="5">
        <f>COUNTIFS('Student Data'!F3:F52,6,'Student Data'!G3:G52,"C")</f>
        <v>2</v>
      </c>
      <c r="E5" s="18">
        <f>SUM(B5:D5)</f>
        <v>4</v>
      </c>
      <c r="G5" s="19" t="s">
        <v>186</v>
      </c>
      <c r="H5" s="5">
        <f>COUNTIFS('Student Data'!F3:F52,6,'Student Data'!M3:M52,"Paid")</f>
        <v>4</v>
      </c>
      <c r="I5" s="5">
        <f>COUNTIFS('Student Data'!F3:F52,6,'Student Data'!M3:M52,"Pending")</f>
        <v>0</v>
      </c>
      <c r="J5" s="5">
        <f>COUNTIFS('Student Data'!F3:F52,6,'Student Data'!M3:M52,"Partial")</f>
        <v>0</v>
      </c>
      <c r="K5" s="18">
        <f>SUM(H5:J5)</f>
        <v>4</v>
      </c>
    </row>
    <row r="6" spans="1:12" ht="19.5" customHeight="1" x14ac:dyDescent="0.35">
      <c r="A6" s="21" t="s">
        <v>187</v>
      </c>
      <c r="B6" s="10">
        <f>COUNTIFS('Student Data'!F3:F52,7,'Student Data'!G3:G52,"A")</f>
        <v>0</v>
      </c>
      <c r="C6" s="10">
        <f>COUNTIFS('Student Data'!F3:F52,7,'Student Data'!G3:G52,"B")</f>
        <v>7</v>
      </c>
      <c r="D6" s="10">
        <f>COUNTIFS('Student Data'!F3:F52,7,'Student Data'!G3:G52,"C")</f>
        <v>9</v>
      </c>
      <c r="E6" s="20">
        <f>SUM(B6:D6)</f>
        <v>16</v>
      </c>
      <c r="G6" s="21" t="s">
        <v>187</v>
      </c>
      <c r="H6" s="10">
        <f>COUNTIFS('Student Data'!F3:F52,7,'Student Data'!M3:M52,"Paid")</f>
        <v>9</v>
      </c>
      <c r="I6" s="10">
        <f>COUNTIFS('Student Data'!F3:F52,7,'Student Data'!M3:M52,"Pending")</f>
        <v>1</v>
      </c>
      <c r="J6" s="10">
        <f>COUNTIFS('Student Data'!F3:F52,7,'Student Data'!M3:M52,"Partial")</f>
        <v>6</v>
      </c>
      <c r="K6" s="20">
        <f>SUM(H6:J6)</f>
        <v>16</v>
      </c>
    </row>
    <row r="7" spans="1:12" ht="19.5" customHeight="1" x14ac:dyDescent="0.35">
      <c r="A7" s="19" t="s">
        <v>188</v>
      </c>
      <c r="B7" s="5">
        <f>COUNTIFS('Student Data'!F3:F52,8,'Student Data'!G3:G52,"A")</f>
        <v>7</v>
      </c>
      <c r="C7" s="5">
        <f>COUNTIFS('Student Data'!F3:F52,8,'Student Data'!G3:G52,"B")</f>
        <v>7</v>
      </c>
      <c r="D7" s="5">
        <f>COUNTIFS('Student Data'!F3:F52,8,'Student Data'!G3:G52,"C")</f>
        <v>3</v>
      </c>
      <c r="E7" s="18">
        <f>SUM(B7:D7)</f>
        <v>17</v>
      </c>
      <c r="G7" s="19" t="s">
        <v>188</v>
      </c>
      <c r="H7" s="5">
        <f>COUNTIFS('Student Data'!F3:F52,8,'Student Data'!M3:M52,"Paid")</f>
        <v>9</v>
      </c>
      <c r="I7" s="5">
        <f>COUNTIFS('Student Data'!F3:F52,8,'Student Data'!M3:M52,"Pending")</f>
        <v>5</v>
      </c>
      <c r="J7" s="5">
        <f>COUNTIFS('Student Data'!F3:F52,8,'Student Data'!M3:M52,"Partial")</f>
        <v>3</v>
      </c>
      <c r="K7" s="18">
        <f>SUM(H7:J7)</f>
        <v>17</v>
      </c>
    </row>
    <row r="8" spans="1:12" ht="19.5" customHeight="1" x14ac:dyDescent="0.35">
      <c r="A8" s="21" t="s">
        <v>189</v>
      </c>
      <c r="B8" s="10">
        <f>COUNTIFS('Student Data'!F3:F52,9,'Student Data'!G3:G52,"A")</f>
        <v>1</v>
      </c>
      <c r="C8" s="10">
        <f>COUNTIFS('Student Data'!F3:F52,9,'Student Data'!G3:G52,"B")</f>
        <v>1</v>
      </c>
      <c r="D8" s="10">
        <f>COUNTIFS('Student Data'!F3:F52,9,'Student Data'!G3:G52,"C")</f>
        <v>3</v>
      </c>
      <c r="E8" s="20">
        <f>SUM(B8:D8)</f>
        <v>5</v>
      </c>
      <c r="G8" s="21" t="s">
        <v>189</v>
      </c>
      <c r="H8" s="10">
        <f>COUNTIFS('Student Data'!F3:F52,9,'Student Data'!M3:M52,"Paid")</f>
        <v>3</v>
      </c>
      <c r="I8" s="10">
        <f>COUNTIFS('Student Data'!F3:F52,9,'Student Data'!M3:M52,"Pending")</f>
        <v>0</v>
      </c>
      <c r="J8" s="10">
        <f>COUNTIFS('Student Data'!F3:F52,9,'Student Data'!M3:M52,"Partial")</f>
        <v>2</v>
      </c>
      <c r="K8" s="20">
        <f>SUM(H8:J8)</f>
        <v>5</v>
      </c>
    </row>
    <row r="9" spans="1:12" ht="19.5" customHeight="1" x14ac:dyDescent="0.35">
      <c r="A9" s="19" t="s">
        <v>190</v>
      </c>
      <c r="B9" s="5">
        <f>COUNTIFS('Student Data'!F3:F52,10,'Student Data'!G3:G52,"A")</f>
        <v>2</v>
      </c>
      <c r="C9" s="5">
        <f>COUNTIFS('Student Data'!F3:F52,10,'Student Data'!G3:G52,"B")</f>
        <v>4</v>
      </c>
      <c r="D9" s="5">
        <f>COUNTIFS('Student Data'!F3:F52,10,'Student Data'!G3:G52,"C")</f>
        <v>2</v>
      </c>
      <c r="E9" s="18">
        <f>SUM(B9:D9)</f>
        <v>8</v>
      </c>
      <c r="G9" s="19" t="s">
        <v>190</v>
      </c>
      <c r="H9" s="5">
        <f>COUNTIFS('Student Data'!F3:F52,10,'Student Data'!M3:M52,"Paid")</f>
        <v>3</v>
      </c>
      <c r="I9" s="5">
        <f>COUNTIFS('Student Data'!F3:F52,10,'Student Data'!M3:M52,"Pending")</f>
        <v>2</v>
      </c>
      <c r="J9" s="5">
        <f>COUNTIFS('Student Data'!F3:F52,10,'Student Data'!M3:M52,"Partial")</f>
        <v>3</v>
      </c>
      <c r="K9" s="18">
        <f>SUM(H9:J9)</f>
        <v>8</v>
      </c>
    </row>
    <row r="10" spans="1:12" ht="15" customHeight="1" x14ac:dyDescent="0.35">
      <c r="A10" s="60" t="s">
        <v>195</v>
      </c>
      <c r="B10" s="61">
        <f>SUM(B5:B9)</f>
        <v>11</v>
      </c>
      <c r="C10" s="61">
        <f>SUM(C5:C9)</f>
        <v>20</v>
      </c>
      <c r="D10" s="61">
        <f>SUM(D5:D9)</f>
        <v>19</v>
      </c>
      <c r="E10" s="61">
        <f>SUM(E5:E9)</f>
        <v>50</v>
      </c>
      <c r="G10" s="60" t="s">
        <v>195</v>
      </c>
      <c r="H10" s="61">
        <f>SUM(H5:H9)</f>
        <v>28</v>
      </c>
      <c r="I10" s="61">
        <f>SUM(I5:I9)</f>
        <v>8</v>
      </c>
      <c r="J10" s="61">
        <f>SUM(J5:J9)</f>
        <v>14</v>
      </c>
      <c r="K10" s="61">
        <f>SUM(K5:K9)</f>
        <v>50</v>
      </c>
    </row>
    <row r="13" spans="1:12" ht="31.5" customHeight="1" x14ac:dyDescent="0.35">
      <c r="A13" s="56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8"/>
    </row>
  </sheetData>
  <mergeCells count="4">
    <mergeCell ref="A1:J1"/>
    <mergeCell ref="A3:E3"/>
    <mergeCell ref="G3:K3"/>
    <mergeCell ref="A13:L1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showGridLines="0" tabSelected="1" zoomScale="90" zoomScaleNormal="90" workbookViewId="0">
      <selection activeCell="F11" sqref="F11"/>
    </sheetView>
  </sheetViews>
  <sheetFormatPr defaultColWidth="8.6328125" defaultRowHeight="14.5" x14ac:dyDescent="0.35"/>
  <cols>
    <col min="1" max="4" width="8" style="1" customWidth="1"/>
    <col min="5" max="5" width="16" style="1" customWidth="1"/>
    <col min="6" max="12" width="12" style="1" customWidth="1"/>
  </cols>
  <sheetData>
    <row r="1" spans="1:17" ht="30" customHeight="1" x14ac:dyDescent="0.35">
      <c r="A1" s="62" t="s">
        <v>169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3" spans="1:17" ht="21.75" customHeight="1" x14ac:dyDescent="0.35">
      <c r="A3" s="40" t="s">
        <v>170</v>
      </c>
      <c r="B3" s="40"/>
      <c r="C3" s="41" t="s">
        <v>171</v>
      </c>
      <c r="D3" s="41"/>
      <c r="E3" s="42" t="s">
        <v>172</v>
      </c>
      <c r="F3" s="42"/>
      <c r="G3" s="43" t="s">
        <v>173</v>
      </c>
      <c r="H3" s="43"/>
    </row>
    <row r="4" spans="1:17" ht="39.75" customHeight="1" x14ac:dyDescent="0.35">
      <c r="A4" s="45">
        <f>COUNTA('Student Data'!A3:A52)</f>
        <v>50</v>
      </c>
      <c r="B4" s="45"/>
      <c r="C4" s="46">
        <f>COUNTIF('Student Data'!M3:M52,"Paid")</f>
        <v>28</v>
      </c>
      <c r="D4" s="46"/>
      <c r="E4" s="47">
        <f>COUNTIF('Student Data'!M3:M52,"Pending")</f>
        <v>8</v>
      </c>
      <c r="F4" s="47"/>
      <c r="G4" s="48">
        <f>ROUND(AVERAGE('Student Data'!L3:L52),1)</f>
        <v>77.400000000000006</v>
      </c>
      <c r="H4" s="48"/>
    </row>
    <row r="5" spans="1:17" ht="9.75" customHeight="1" x14ac:dyDescent="0.35">
      <c r="A5" s="49"/>
      <c r="B5" s="49"/>
      <c r="C5" s="50"/>
      <c r="D5" s="50"/>
      <c r="E5" s="51"/>
      <c r="F5" s="51"/>
      <c r="G5" s="52"/>
      <c r="H5" s="52"/>
    </row>
    <row r="7" spans="1:17" ht="19.5" customHeight="1" x14ac:dyDescent="0.35">
      <c r="A7" s="63" t="s">
        <v>174</v>
      </c>
      <c r="B7" s="63"/>
      <c r="C7" s="63"/>
      <c r="D7" s="63"/>
      <c r="E7" s="63"/>
      <c r="G7" s="64" t="s">
        <v>175</v>
      </c>
      <c r="H7" s="64"/>
      <c r="I7" s="64"/>
      <c r="J7" s="34"/>
      <c r="K7" s="34"/>
      <c r="L7" s="34"/>
    </row>
    <row r="8" spans="1:17" ht="15" customHeight="1" x14ac:dyDescent="0.35">
      <c r="A8" s="17" t="s">
        <v>6</v>
      </c>
      <c r="B8" s="17" t="s">
        <v>121</v>
      </c>
      <c r="C8" s="17" t="s">
        <v>176</v>
      </c>
      <c r="D8" s="17" t="s">
        <v>177</v>
      </c>
      <c r="E8" s="17" t="s">
        <v>173</v>
      </c>
      <c r="G8" s="17" t="s">
        <v>178</v>
      </c>
      <c r="H8" s="17" t="s">
        <v>179</v>
      </c>
      <c r="I8" s="17" t="s">
        <v>180</v>
      </c>
    </row>
    <row r="9" spans="1:17" ht="19.5" customHeight="1" x14ac:dyDescent="0.35">
      <c r="A9" s="18">
        <v>6</v>
      </c>
      <c r="B9" s="5">
        <f>COUNTIF('Student Data'!F3:F52,6)</f>
        <v>4</v>
      </c>
      <c r="C9" s="5">
        <f>COUNTIFS('Student Data'!F3:F52,6,'Student Data'!E3:E52,"M")</f>
        <v>1</v>
      </c>
      <c r="D9" s="5">
        <f>COUNTIFS('Student Data'!F3:F52,6,'Student Data'!E3:E52,"F")</f>
        <v>3</v>
      </c>
      <c r="E9" s="5">
        <f>IFERROR(ROUND(AVERAGEIF('Student Data'!F3:F52,6,'Student Data'!L3:L52),1),0)</f>
        <v>84.8</v>
      </c>
      <c r="G9" s="19" t="s">
        <v>19</v>
      </c>
      <c r="H9" s="5">
        <f>COUNTIF('Student Data'!M3:M52,"Paid")</f>
        <v>28</v>
      </c>
      <c r="I9" s="6">
        <f>IFERROR(ROUND(H9/COUNTA('Student Data'!M3:M52)*100,1),0)</f>
        <v>56</v>
      </c>
    </row>
    <row r="10" spans="1:17" ht="19.5" customHeight="1" x14ac:dyDescent="0.35">
      <c r="A10" s="20">
        <v>7</v>
      </c>
      <c r="B10" s="10">
        <f>COUNTIF('Student Data'!F3:F52,7)</f>
        <v>16</v>
      </c>
      <c r="C10" s="10">
        <f>COUNTIFS('Student Data'!F3:F52,7,'Student Data'!E3:E52,"M")</f>
        <v>9</v>
      </c>
      <c r="D10" s="10">
        <f>COUNTIFS('Student Data'!F3:F52,7,'Student Data'!E3:E52,"F")</f>
        <v>7</v>
      </c>
      <c r="E10" s="10">
        <f>IFERROR(ROUND(AVERAGEIF('Student Data'!F3:F52,7,'Student Data'!L3:L52),1),0)</f>
        <v>74.8</v>
      </c>
      <c r="G10" s="21" t="s">
        <v>25</v>
      </c>
      <c r="H10" s="10">
        <f>COUNTIF('Student Data'!M3:M52,"Pending")</f>
        <v>8</v>
      </c>
      <c r="I10" s="11">
        <f>IFERROR(ROUND(H10/COUNTA('Student Data'!M3:M52)*100,1),0)</f>
        <v>16</v>
      </c>
    </row>
    <row r="11" spans="1:17" ht="19.5" customHeight="1" x14ac:dyDescent="0.35">
      <c r="A11" s="18">
        <v>8</v>
      </c>
      <c r="B11" s="5">
        <f>COUNTIF('Student Data'!F3:F52,8)</f>
        <v>17</v>
      </c>
      <c r="C11" s="5">
        <f>COUNTIFS('Student Data'!F3:F52,8,'Student Data'!E3:E52,"M")</f>
        <v>7</v>
      </c>
      <c r="D11" s="5">
        <f>COUNTIFS('Student Data'!F3:F52,8,'Student Data'!E3:E52,"F")</f>
        <v>10</v>
      </c>
      <c r="E11" s="5">
        <f>IFERROR(ROUND(AVERAGEIF('Student Data'!F3:F52,8,'Student Data'!L3:L52),1),0)</f>
        <v>76.599999999999994</v>
      </c>
      <c r="G11" s="19" t="s">
        <v>28</v>
      </c>
      <c r="H11" s="5">
        <f>COUNTIF('Student Data'!M3:M52,"Partial")</f>
        <v>14</v>
      </c>
      <c r="I11" s="6">
        <f>IFERROR(ROUND(H11/COUNTA('Student Data'!M3:M52)*100,1),0)</f>
        <v>28</v>
      </c>
    </row>
    <row r="12" spans="1:17" ht="19.5" customHeight="1" x14ac:dyDescent="0.35">
      <c r="A12" s="20">
        <v>9</v>
      </c>
      <c r="B12" s="10">
        <f>COUNTIF('Student Data'!F3:F52,9)</f>
        <v>5</v>
      </c>
      <c r="C12" s="10">
        <f>COUNTIFS('Student Data'!F3:F52,9,'Student Data'!E3:E52,"M")</f>
        <v>3</v>
      </c>
      <c r="D12" s="10">
        <f>COUNTIFS('Student Data'!F3:F52,9,'Student Data'!E3:E52,"F")</f>
        <v>2</v>
      </c>
      <c r="E12" s="10">
        <f>IFERROR(ROUND(AVERAGEIF('Student Data'!F3:F52,9,'Student Data'!L3:L52),1),0)</f>
        <v>77.2</v>
      </c>
    </row>
    <row r="13" spans="1:17" ht="19.5" customHeight="1" x14ac:dyDescent="0.35">
      <c r="A13" s="18">
        <v>10</v>
      </c>
      <c r="B13" s="5">
        <f>COUNTIF('Student Data'!F3:F52,10)</f>
        <v>8</v>
      </c>
      <c r="C13" s="5">
        <f>COUNTIFS('Student Data'!F3:F52,10,'Student Data'!E3:E52,"M")</f>
        <v>5</v>
      </c>
      <c r="D13" s="5">
        <f>COUNTIFS('Student Data'!F3:F52,10,'Student Data'!E3:E52,"F")</f>
        <v>3</v>
      </c>
      <c r="E13" s="5">
        <f>IFERROR(ROUND(AVERAGEIF('Student Data'!F3:F52,10,'Student Data'!L3:L52),1),0)</f>
        <v>80.8</v>
      </c>
    </row>
    <row r="16" spans="1:17" ht="27.75" customHeight="1" x14ac:dyDescent="0.3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</row>
  </sheetData>
  <mergeCells count="16">
    <mergeCell ref="A1:Q1"/>
    <mergeCell ref="G7:I7"/>
    <mergeCell ref="A7:E7"/>
    <mergeCell ref="A16:L16"/>
    <mergeCell ref="A4:B4"/>
    <mergeCell ref="C4:D4"/>
    <mergeCell ref="E4:F4"/>
    <mergeCell ref="G4:H4"/>
    <mergeCell ref="A5:B5"/>
    <mergeCell ref="C5:D5"/>
    <mergeCell ref="E5:F5"/>
    <mergeCell ref="G5:H5"/>
    <mergeCell ref="A3:B3"/>
    <mergeCell ref="C3:D3"/>
    <mergeCell ref="E3:F3"/>
    <mergeCell ref="G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Student Data</vt:lpstr>
      <vt:lpstr>Formulas</vt:lpstr>
      <vt:lpstr>Conditional Formatting</vt:lpstr>
      <vt:lpstr>Charts</vt:lpstr>
      <vt:lpstr>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2</cp:revision>
  <dcterms:created xsi:type="dcterms:W3CDTF">2026-04-19T12:52:11Z</dcterms:created>
  <dcterms:modified xsi:type="dcterms:W3CDTF">2026-04-20T10:14:26Z</dcterms:modified>
  <dc:language>en-US</dc:language>
</cp:coreProperties>
</file>