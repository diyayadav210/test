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EFD14DE5-8B5D-40C9-A1A3-B50E13A8BFE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tudent" sheetId="1" r:id="rId1"/>
    <sheet name="sales_data" sheetId="2" r:id="rId2"/>
  </sheets>
  <definedNames>
    <definedName name="table1">student!$A$1:$K$31</definedName>
    <definedName name="table5">sales_data!$A$1:$M$16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2" l="1"/>
  <c r="W18" i="2"/>
  <c r="W17" i="2"/>
  <c r="W16" i="2"/>
  <c r="W13" i="2"/>
  <c r="R17" i="2"/>
  <c r="R18" i="2"/>
  <c r="R16" i="2"/>
  <c r="W9" i="2"/>
  <c r="W4" i="2"/>
  <c r="R12" i="2"/>
  <c r="R11" i="2"/>
  <c r="R10" i="2"/>
  <c r="R9" i="2"/>
  <c r="R6" i="2"/>
  <c r="R5" i="2"/>
  <c r="R4" i="2"/>
  <c r="R3" i="2"/>
  <c r="M7" i="2"/>
  <c r="M8" i="2"/>
  <c r="M9" i="2"/>
  <c r="M10" i="2"/>
  <c r="M11" i="2"/>
  <c r="M12" i="2"/>
  <c r="M13" i="2"/>
  <c r="M14" i="2"/>
  <c r="M15" i="2"/>
  <c r="M16" i="2"/>
  <c r="M6" i="2"/>
  <c r="M4" i="2"/>
  <c r="M3" i="2"/>
  <c r="M2" i="2"/>
  <c r="M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4" i="2" a="1"/>
  <c r="J4" i="2"/>
  <c r="J5" i="2" a="1"/>
  <c r="J5" i="2"/>
  <c r="J6" i="2" a="1"/>
  <c r="J6" i="2"/>
  <c r="J7" i="2" a="1"/>
  <c r="J7" i="2"/>
  <c r="J8" i="2" a="1"/>
  <c r="J8" i="2"/>
  <c r="J9" i="2" a="1"/>
  <c r="J9" i="2"/>
  <c r="J10" i="2" a="1"/>
  <c r="J10" i="2"/>
  <c r="J11" i="2" a="1"/>
  <c r="J11" i="2"/>
  <c r="J12" i="2" a="1"/>
  <c r="J12" i="2"/>
  <c r="J13" i="2" a="1"/>
  <c r="J13" i="2"/>
  <c r="J14" i="2" a="1"/>
  <c r="J14" i="2"/>
  <c r="J15" i="2" a="1"/>
  <c r="J15" i="2"/>
  <c r="J16" i="2" a="1"/>
  <c r="J16" i="2"/>
  <c r="J3" i="2" a="1"/>
  <c r="J3" i="2" s="1"/>
  <c r="J2" i="2" a="1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O17" i="1"/>
  <c r="O16" i="1"/>
  <c r="O15" i="1"/>
  <c r="N12" i="1"/>
  <c r="M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2" i="1"/>
  <c r="G2" i="1" s="1"/>
  <c r="P8" i="1" s="1" a="1"/>
  <c r="P8" i="1" s="1"/>
  <c r="N7" i="1" l="1"/>
  <c r="M7" i="1"/>
  <c r="P4" i="1"/>
  <c r="I2" i="1"/>
  <c r="H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<sst xmlns="http://schemas.openxmlformats.org/spreadsheetml/2006/main" count="146" uniqueCount="87">
  <si>
    <t>Id</t>
  </si>
  <si>
    <t>Full Name</t>
  </si>
  <si>
    <t>Math</t>
  </si>
  <si>
    <t>Science</t>
  </si>
  <si>
    <t>English</t>
  </si>
  <si>
    <t>Total Grade</t>
  </si>
  <si>
    <t>Percentage</t>
  </si>
  <si>
    <t>Grade</t>
  </si>
  <si>
    <t>Result(Pass/Fail)</t>
  </si>
  <si>
    <t>Both above 80%</t>
  </si>
  <si>
    <t>Either above 80%</t>
  </si>
  <si>
    <t>Rahul Sharma</t>
  </si>
  <si>
    <t>COUNT IF /IFS</t>
  </si>
  <si>
    <t xml:space="preserve">AVERAGE IF </t>
  </si>
  <si>
    <t>Priya Patel</t>
  </si>
  <si>
    <t>Score &gt;50 (Math)</t>
  </si>
  <si>
    <t>Average Score &gt; 60</t>
  </si>
  <si>
    <t>Amit Verma</t>
  </si>
  <si>
    <t>Sneha Joshi</t>
  </si>
  <si>
    <t>Karan Mehta</t>
  </si>
  <si>
    <t>Topper in class</t>
  </si>
  <si>
    <t>FILTER</t>
  </si>
  <si>
    <t>Neha Shah</t>
  </si>
  <si>
    <t>Students grades &gt; 90</t>
  </si>
  <si>
    <t>Arjun Singh</t>
  </si>
  <si>
    <t>Pooja Desai</t>
  </si>
  <si>
    <t>VLOOKUP CELL</t>
  </si>
  <si>
    <t>Rohan Patel</t>
  </si>
  <si>
    <t>TABLE2</t>
  </si>
  <si>
    <t>Meera Iyer</t>
  </si>
  <si>
    <t>Vikram Rao</t>
  </si>
  <si>
    <t>Name</t>
  </si>
  <si>
    <t>Anjali Gupta</t>
  </si>
  <si>
    <t>Suresh Kumar</t>
  </si>
  <si>
    <t>MAXIMUM MARKS IN DIFF SUBJECTS</t>
  </si>
  <si>
    <t>Kavita Nair</t>
  </si>
  <si>
    <t>Deepak Yadav</t>
  </si>
  <si>
    <t>Ritu Malhotra</t>
  </si>
  <si>
    <t>Manish Jain</t>
  </si>
  <si>
    <t>Shreya Kapoor</t>
  </si>
  <si>
    <t>Nikhil Agarwal</t>
  </si>
  <si>
    <t>Aarti Singh</t>
  </si>
  <si>
    <t>Rohit Verma</t>
  </si>
  <si>
    <t>Simran Kaur</t>
  </si>
  <si>
    <t>Aditya Roy</t>
  </si>
  <si>
    <t>Tanya Mehta</t>
  </si>
  <si>
    <t>Gaurav Shah</t>
  </si>
  <si>
    <t>Pankaj Mishra</t>
  </si>
  <si>
    <t>Nisha Patel</t>
  </si>
  <si>
    <t>Yash Thakur</t>
  </si>
  <si>
    <t>Komal Jain</t>
  </si>
  <si>
    <t>Harsh Vardhan</t>
  </si>
  <si>
    <t>Sales ID</t>
  </si>
  <si>
    <t>Product</t>
  </si>
  <si>
    <t>Salesperson</t>
  </si>
  <si>
    <t>Region</t>
  </si>
  <si>
    <t>Amount</t>
  </si>
  <si>
    <t>Date</t>
  </si>
  <si>
    <t>Month</t>
  </si>
  <si>
    <t>Day</t>
  </si>
  <si>
    <t>Discount</t>
  </si>
  <si>
    <t>Discount Amount</t>
  </si>
  <si>
    <t>Round (Total,0)</t>
  </si>
  <si>
    <t>Ceiling (Total,100)</t>
  </si>
  <si>
    <t>Floor (total,100)</t>
  </si>
  <si>
    <t>Laptop</t>
  </si>
  <si>
    <t>South</t>
  </si>
  <si>
    <t>Total Sales of Regions and Laptop Product</t>
  </si>
  <si>
    <t xml:space="preserve">VLOOKUP </t>
  </si>
  <si>
    <t>Phone</t>
  </si>
  <si>
    <t>North</t>
  </si>
  <si>
    <t>East</t>
  </si>
  <si>
    <t>Product Price</t>
  </si>
  <si>
    <t>West</t>
  </si>
  <si>
    <t>XLOOKUP</t>
  </si>
  <si>
    <t>Speaker</t>
  </si>
  <si>
    <t>Total sale by Region's</t>
  </si>
  <si>
    <t>Sales Person of Sales ID</t>
  </si>
  <si>
    <t>Tv</t>
  </si>
  <si>
    <t xml:space="preserve">Product by Sales Person  </t>
  </si>
  <si>
    <t>INDEX MATCH</t>
  </si>
  <si>
    <t>Sales Person</t>
  </si>
  <si>
    <t>Product Price Table</t>
  </si>
  <si>
    <t>Product ID</t>
  </si>
  <si>
    <t>Product Name</t>
  </si>
  <si>
    <t xml:space="preserve">XMATCH </t>
  </si>
  <si>
    <t>Yash Gohil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</si>
</sst>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rgb="FF1589BF"/>
        <bgColor indexed="64"/>
      </patternFill>
    </fill>
    <fill>
      <patternFill patternType="solid">
        <fgColor rgb="FF6EDC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NumberFormat="1" applyAlignment="1">
      <alignment wrapText="1"/>
    </xf>
    <xf numFmtId="0" fontId="0" fillId="0" borderId="0" xfId="0" applyNumberForma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164" formatCode="[$₹-4009]\ #,##0"/>
    </dxf>
    <dxf>
      <numFmt numFmtId="1" formatCode="0"/>
    </dxf>
    <dxf>
      <numFmt numFmtId="2" formatCode="0.00"/>
    </dxf>
    <dxf>
      <numFmt numFmtId="2" formatCode="0.00"/>
    </dxf>
  </dxfs>
  <tableStyles count="0" defaultTableStyle="TableStyleMedium2" defaultPivotStyle="PivotStyleMedium9"/>
  <colors>
    <mruColors>
      <color rgb="FF6EDCF5"/>
      <color rgb="FF1589BF"/>
      <color rgb="FF2BB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D6F0D4-2717-43E7-9BCB-036E12527228}" name="Table2" displayName="Table2" ref="A1:K31" totalsRowShown="0">
  <autoFilter ref="A1:K31" xr:uid="{BBD6F0D4-2717-43E7-9BCB-036E12527228}"/>
  <tableColumns count="11">
    <tableColumn id="1" xr3:uid="{2BAFEBCF-8D36-4628-813F-9DA0F3E9FA05}" name="Id"/>
    <tableColumn id="2" xr3:uid="{ED9D4913-2013-4F24-8E5E-A85EA841EFC9}" name="Full Name"/>
    <tableColumn id="3" xr3:uid="{CA1F46D1-0D98-48C6-A3F0-A249EB886832}" name="Math"/>
    <tableColumn id="4" xr3:uid="{6000780D-CE81-4AD5-9BFD-ED559A2F6752}" name="Science"/>
    <tableColumn id="5" xr3:uid="{F8765B15-AA1B-4263-BDD3-2937B092EE70}" name="English"/>
    <tableColumn id="6" xr3:uid="{D6065A9B-B162-402F-B5E9-02338749C755}" name="Total Grade">
      <calculatedColumnFormula>SUM(C2,D2,E2)</calculatedColumnFormula>
    </tableColumn>
    <tableColumn id="7" xr3:uid="{B0C44D8B-56CE-4D61-B162-D0A1501A83E1}" name="Percentage" dataDxfId="5">
      <calculatedColumnFormula>(F2/300)*100</calculatedColumnFormula>
    </tableColumn>
    <tableColumn id="8" xr3:uid="{4A0E05D4-E0BC-4E7E-BDCE-D516ABAF7D52}" name="Grade" dataDxfId="4">
      <calculatedColumnFormula>IF(G2&gt;=85,"A",IF(G2&gt;=70,"B",IF(G2&gt;=50,"C","D")))</calculatedColumnFormula>
    </tableColumn>
    <tableColumn id="9" xr3:uid="{B1B7377C-94AE-4C7D-B2F3-4DE0DCCD30C8}" name="Result(Pass/Fail)">
      <calculatedColumnFormula>IF(G2&gt;=40,"Pass","Fail")</calculatedColumnFormula>
    </tableColumn>
    <tableColumn id="10" xr3:uid="{66C8815F-30BD-4F5B-BADB-EA081CBD6B7C}" name="Both above 80%">
      <calculatedColumnFormula>IF(AND(C2&gt;=80,D2&gt;=80),"Yes","No")</calculatedColumnFormula>
    </tableColumn>
    <tableColumn id="11" xr3:uid="{3FE798CB-0194-4DDE-AFB9-E89DDF4E27AF}" name="Either above 80%">
      <calculatedColumnFormula>IF(OR(C2&gt;=80,D2&gt;=80),"Yes","No")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FDEF4-7423-43CF-9D01-C9B4183E24CC}" name="Table3" displayName="Table3" ref="A1:M16" totalsRowShown="0">
  <autoFilter ref="A1:M16" xr:uid="{BDDFDEF4-7423-43CF-9D01-C9B4183E24CC}"/>
  <tableColumns count="13">
    <tableColumn id="1" xr3:uid="{BB934CF0-59D3-49F4-B0A1-27961F7DCD57}" name="Sales ID" dataDxfId="3"/>
    <tableColumn id="2" xr3:uid="{0751F877-505B-420D-9B68-270E84A3C2E3}" name="Product"/>
    <tableColumn id="3" xr3:uid="{B61F4111-AFF5-407D-9A23-20AEA34D5EEA}" name="Salesperson"/>
    <tableColumn id="4" xr3:uid="{F3CE0C7F-F4D0-4F37-9804-E44EE62615D7}" name="Region"/>
    <tableColumn id="5" xr3:uid="{5164D633-8BD3-465D-BCBC-3C1CF2C52091}" name="Amount" dataDxfId="2"/>
    <tableColumn id="6" xr3:uid="{AE2C47B5-4CB8-49ED-A2E2-2C28D793C527}" name="Date" dataDxfId="1"/>
    <tableColumn id="7" xr3:uid="{65E93D36-BAAA-4904-B765-AE4FE6561015}" name="Month">
      <calculatedColumnFormula>TEXT(F2,"MMM")</calculatedColumnFormula>
    </tableColumn>
    <tableColumn id="8" xr3:uid="{2F2BF517-317D-4528-A320-C43AD52302D6}" name="Day">
      <calculatedColumnFormula>TEXT(F2,"DDD")</calculatedColumnFormula>
    </tableColumn>
    <tableColumn id="9" xr3:uid="{9B67FC21-37F0-4AEC-985C-B09EA66906B2}" name="Discount">
      <calculatedColumnFormula>IF(E2&gt;=40000,"10% OFF",IF(E2&gt;=30000,"5% OFF","No Discount"))</calculatedColumnFormula>
    </tableColumn>
    <tableColumn id="10" xr3:uid="{E306D2C2-BA05-40D6-8C71-CA6B91500DB3}" name="Discount Amount" dataDxfId="0">
      <calculatedColumnFormula array="1">_xlfn.IFS(I1="10% OFF",E1*10%,I1="5% OFF",E1*5%,I1="No Discount", 0)</calculatedColumnFormula>
    </tableColumn>
    <tableColumn id="11" xr3:uid="{36EE23AA-660D-49E9-982C-A31A53A19785}" name="Round (Total,0)">
      <calculatedColumnFormula>ROUND(J2,0)</calculatedColumnFormula>
    </tableColumn>
    <tableColumn id="12" xr3:uid="{BE3A8925-C70C-48FF-AA19-B2E2F076BD19}" name="Ceiling (Total,100)">
      <calculatedColumnFormula>CEILING(J2,100)</calculatedColumnFormula>
    </tableColumn>
    <tableColumn id="13" xr3:uid="{59F8F35F-4AF5-4118-9470-E67077AAD100}" name="Floor (total,100)">
      <calculatedColumnFormula>FLOOR(J2,100)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R15" sqref="R15"/>
    </sheetView>
  </sheetViews>
  <sheetFormatPr defaultRowHeight="15"/>
  <cols>
    <col min="2" max="2" width="13.85546875" bestFit="1" customWidth="1"/>
    <col min="4" max="4" width="9.7109375" bestFit="1" customWidth="1"/>
    <col min="5" max="5" width="9.42578125" bestFit="1" customWidth="1"/>
    <col min="6" max="6" width="13.5703125" bestFit="1" customWidth="1"/>
    <col min="7" max="7" width="13.140625" bestFit="1" customWidth="1"/>
    <col min="9" max="9" width="18" bestFit="1" customWidth="1"/>
    <col min="10" max="10" width="17.5703125" bestFit="1" customWidth="1"/>
    <col min="11" max="11" width="18.5703125" bestFit="1" customWidth="1"/>
    <col min="13" max="13" width="12.140625" customWidth="1"/>
    <col min="14" max="14" width="16.7109375" customWidth="1"/>
    <col min="16" max="16" width="14.7109375" customWidth="1"/>
    <col min="17" max="17" width="28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8">
      <c r="A2">
        <v>101</v>
      </c>
      <c r="B2" t="s">
        <v>11</v>
      </c>
      <c r="C2">
        <v>78</v>
      </c>
      <c r="D2">
        <v>85</v>
      </c>
      <c r="E2">
        <v>82</v>
      </c>
      <c r="F2">
        <f>SUM(C2,D2,E2)</f>
        <v>245</v>
      </c>
      <c r="G2" s="1">
        <f>(F2/300)*100</f>
        <v>81.666666666666671</v>
      </c>
      <c r="H2" s="1" t="str">
        <f>IF(G2&gt;=85,"A",IF(G2&gt;=70,"B",IF(G2&gt;=50,"C","D")))</f>
        <v>B</v>
      </c>
      <c r="I2" t="str">
        <f>IF(G2&gt;=40,"Pass","Fail")</f>
        <v>Pass</v>
      </c>
      <c r="J2" t="str">
        <f>IF(AND(C2&gt;=80,D2&gt;=80),"Yes","No")</f>
        <v>No</v>
      </c>
      <c r="K2" t="str">
        <f>IF(OR(C2&gt;=80,D2&gt;=80),"Yes","No")</f>
        <v>Yes</v>
      </c>
      <c r="M2" s="13" t="s">
        <v>12</v>
      </c>
      <c r="N2" s="13"/>
      <c r="P2" s="13" t="s">
        <v>13</v>
      </c>
      <c r="Q2" s="13"/>
    </row>
    <row r="3" spans="1:18">
      <c r="A3">
        <v>102</v>
      </c>
      <c r="B3" t="s">
        <v>14</v>
      </c>
      <c r="C3">
        <v>65</v>
      </c>
      <c r="D3">
        <v>70</v>
      </c>
      <c r="E3">
        <v>60</v>
      </c>
      <c r="F3">
        <f t="shared" ref="F3:F31" si="0">SUM(C3,D3,E3)</f>
        <v>195</v>
      </c>
      <c r="G3" s="1">
        <f t="shared" ref="G3:G31" si="1">(F3/300)*100</f>
        <v>65</v>
      </c>
      <c r="H3" s="1" t="str">
        <f t="shared" ref="H3:H31" si="2">IF(G3&gt;=85,"A",IF(G3&gt;=70,"B",IF(G3&gt;=50,"C","D")))</f>
        <v>C</v>
      </c>
      <c r="I3" t="str">
        <f t="shared" ref="I3:I31" si="3">IF(G3&gt;=40,"Pass","Fail")</f>
        <v>Pass</v>
      </c>
      <c r="J3" t="str">
        <f t="shared" ref="J3:J31" si="4">IF(AND(C3&gt;=80,D3&gt;=80),"Yes","No")</f>
        <v>No</v>
      </c>
      <c r="K3" t="str">
        <f t="shared" ref="K3:K31" si="5">IF(OR(C3&gt;=80,D3&gt;=80),"Yes","No")</f>
        <v>No</v>
      </c>
      <c r="M3" s="15" t="s">
        <v>15</v>
      </c>
      <c r="N3" s="15"/>
      <c r="P3" s="15" t="s">
        <v>16</v>
      </c>
      <c r="Q3" s="15"/>
    </row>
    <row r="4" spans="1:18">
      <c r="A4">
        <v>103</v>
      </c>
      <c r="B4" t="s">
        <v>17</v>
      </c>
      <c r="C4">
        <v>90</v>
      </c>
      <c r="D4">
        <v>88</v>
      </c>
      <c r="E4">
        <v>92</v>
      </c>
      <c r="F4">
        <f t="shared" si="0"/>
        <v>270</v>
      </c>
      <c r="G4" s="1">
        <f t="shared" si="1"/>
        <v>90</v>
      </c>
      <c r="H4" s="1" t="str">
        <f t="shared" si="2"/>
        <v>A</v>
      </c>
      <c r="I4" t="str">
        <f t="shared" si="3"/>
        <v>Pass</v>
      </c>
      <c r="J4" t="str">
        <f t="shared" si="4"/>
        <v>Yes</v>
      </c>
      <c r="K4" t="str">
        <f t="shared" si="5"/>
        <v>Yes</v>
      </c>
      <c r="M4" s="11">
        <f>COUNTIF(Table2[Math],"&gt;50")</f>
        <v>28</v>
      </c>
      <c r="N4" s="11"/>
      <c r="P4" s="11">
        <f>AVERAGEIF(Table2[Percentage],"&gt;60")</f>
        <v>78.916666666666671</v>
      </c>
      <c r="Q4" s="11"/>
    </row>
    <row r="5" spans="1:18" ht="20.25" customHeight="1">
      <c r="A5">
        <v>104</v>
      </c>
      <c r="B5" t="s">
        <v>18</v>
      </c>
      <c r="C5">
        <v>55</v>
      </c>
      <c r="D5">
        <v>60</v>
      </c>
      <c r="E5">
        <v>58</v>
      </c>
      <c r="F5">
        <f t="shared" si="0"/>
        <v>173</v>
      </c>
      <c r="G5" s="1">
        <f t="shared" si="1"/>
        <v>57.666666666666664</v>
      </c>
      <c r="H5" s="1" t="str">
        <f t="shared" si="2"/>
        <v>C</v>
      </c>
      <c r="I5" t="str">
        <f t="shared" si="3"/>
        <v>Pass</v>
      </c>
      <c r="J5" t="str">
        <f t="shared" si="4"/>
        <v>No</v>
      </c>
      <c r="K5" t="str">
        <f t="shared" si="5"/>
        <v>No</v>
      </c>
    </row>
    <row r="6" spans="1:18" ht="18.75" customHeight="1">
      <c r="A6">
        <v>105</v>
      </c>
      <c r="B6" t="s">
        <v>19</v>
      </c>
      <c r="C6">
        <v>40</v>
      </c>
      <c r="D6">
        <v>45</v>
      </c>
      <c r="E6">
        <v>50</v>
      </c>
      <c r="F6">
        <f t="shared" si="0"/>
        <v>135</v>
      </c>
      <c r="G6" s="1">
        <f t="shared" si="1"/>
        <v>45</v>
      </c>
      <c r="H6" s="1" t="str">
        <f t="shared" si="2"/>
        <v>D</v>
      </c>
      <c r="I6" t="str">
        <f t="shared" si="3"/>
        <v>Pass</v>
      </c>
      <c r="J6" t="str">
        <f t="shared" si="4"/>
        <v>No</v>
      </c>
      <c r="K6" t="str">
        <f t="shared" si="5"/>
        <v>No</v>
      </c>
      <c r="M6" s="13" t="s">
        <v>20</v>
      </c>
      <c r="N6" s="13"/>
      <c r="P6" s="13" t="s">
        <v>21</v>
      </c>
      <c r="Q6" s="13"/>
      <c r="R6" s="2"/>
    </row>
    <row r="7" spans="1:18">
      <c r="A7">
        <v>106</v>
      </c>
      <c r="B7" t="s">
        <v>22</v>
      </c>
      <c r="C7">
        <v>82</v>
      </c>
      <c r="D7">
        <v>79</v>
      </c>
      <c r="E7">
        <v>85</v>
      </c>
      <c r="F7">
        <f t="shared" si="0"/>
        <v>246</v>
      </c>
      <c r="G7" s="1">
        <f t="shared" si="1"/>
        <v>82</v>
      </c>
      <c r="H7" s="1" t="str">
        <f t="shared" si="2"/>
        <v>B</v>
      </c>
      <c r="I7" t="str">
        <f t="shared" si="3"/>
        <v>Pass</v>
      </c>
      <c r="J7" t="str">
        <f t="shared" si="4"/>
        <v>No</v>
      </c>
      <c r="K7" t="str">
        <f t="shared" si="5"/>
        <v>Yes</v>
      </c>
      <c r="M7" s="8">
        <f>INDEX(Table2[Id],MATCH(MAX(Table2[Percentage]),Table2[Percentage],0))</f>
        <v>116</v>
      </c>
      <c r="N7" s="7" t="str">
        <f>INDEX(Table2[Full Name],MATCH(MAX(Table2[Percentage]),Table2[Percentage],0))</f>
        <v>Ritu Malhotra</v>
      </c>
      <c r="P7" s="15" t="s">
        <v>23</v>
      </c>
      <c r="Q7" s="15"/>
      <c r="R7" s="2"/>
    </row>
    <row r="8" spans="1:18">
      <c r="A8">
        <v>107</v>
      </c>
      <c r="B8" t="s">
        <v>24</v>
      </c>
      <c r="C8">
        <v>74</v>
      </c>
      <c r="D8">
        <v>68</v>
      </c>
      <c r="E8">
        <v>72</v>
      </c>
      <c r="F8">
        <f t="shared" si="0"/>
        <v>214</v>
      </c>
      <c r="G8" s="1">
        <f t="shared" si="1"/>
        <v>71.333333333333343</v>
      </c>
      <c r="H8" s="1" t="str">
        <f t="shared" si="2"/>
        <v>B</v>
      </c>
      <c r="I8" t="str">
        <f t="shared" si="3"/>
        <v>Pass</v>
      </c>
      <c r="J8" t="str">
        <f t="shared" si="4"/>
        <v>No</v>
      </c>
      <c r="K8" t="str">
        <f t="shared" si="5"/>
        <v>No</v>
      </c>
      <c r="P8" s="7" cm="1">
        <f t="array" ref="P8:Q10">_xlfn._xlws.FILTER(A2:B31,Table2[Percentage]&gt;90,"no data")</f>
        <v>108</v>
      </c>
      <c r="Q8" s="7" t="str">
        <v>Pooja Desai</v>
      </c>
    </row>
    <row r="9" spans="1:18" ht="18" customHeight="1">
      <c r="A9">
        <v>108</v>
      </c>
      <c r="B9" t="s">
        <v>25</v>
      </c>
      <c r="C9">
        <v>91</v>
      </c>
      <c r="D9">
        <v>89</v>
      </c>
      <c r="E9">
        <v>94</v>
      </c>
      <c r="F9">
        <f t="shared" si="0"/>
        <v>274</v>
      </c>
      <c r="G9" s="1">
        <f t="shared" si="1"/>
        <v>91.333333333333329</v>
      </c>
      <c r="H9" s="1" t="str">
        <f t="shared" si="2"/>
        <v>A</v>
      </c>
      <c r="I9" t="str">
        <f t="shared" si="3"/>
        <v>Pass</v>
      </c>
      <c r="J9" t="str">
        <f t="shared" si="4"/>
        <v>Yes</v>
      </c>
      <c r="K9" t="str">
        <f t="shared" si="5"/>
        <v>Yes</v>
      </c>
      <c r="M9" s="14" t="s">
        <v>26</v>
      </c>
      <c r="N9" s="14"/>
      <c r="P9" s="7">
        <v>116</v>
      </c>
      <c r="Q9" s="7" t="str">
        <v>Ritu Malhotra</v>
      </c>
    </row>
    <row r="10" spans="1:18">
      <c r="A10">
        <v>109</v>
      </c>
      <c r="B10" t="s">
        <v>27</v>
      </c>
      <c r="C10">
        <v>62</v>
      </c>
      <c r="D10">
        <v>65</v>
      </c>
      <c r="E10">
        <v>60</v>
      </c>
      <c r="F10">
        <f t="shared" si="0"/>
        <v>187</v>
      </c>
      <c r="G10" s="1">
        <f t="shared" si="1"/>
        <v>62.333333333333329</v>
      </c>
      <c r="H10" s="1" t="str">
        <f t="shared" si="2"/>
        <v>C</v>
      </c>
      <c r="I10" t="str">
        <f t="shared" si="3"/>
        <v>Pass</v>
      </c>
      <c r="J10" t="str">
        <f t="shared" si="4"/>
        <v>No</v>
      </c>
      <c r="K10" t="str">
        <f t="shared" si="5"/>
        <v>No</v>
      </c>
      <c r="M10" s="15" t="s">
        <v>28</v>
      </c>
      <c r="N10" s="15"/>
      <c r="P10" s="7">
        <v>124</v>
      </c>
      <c r="Q10" s="7" t="str">
        <v>Tanya Mehta</v>
      </c>
    </row>
    <row r="11" spans="1:18">
      <c r="A11">
        <v>110</v>
      </c>
      <c r="B11" t="s">
        <v>29</v>
      </c>
      <c r="C11">
        <v>88</v>
      </c>
      <c r="D11">
        <v>92</v>
      </c>
      <c r="E11">
        <v>90</v>
      </c>
      <c r="F11">
        <f t="shared" si="0"/>
        <v>270</v>
      </c>
      <c r="G11" s="1">
        <f t="shared" si="1"/>
        <v>90</v>
      </c>
      <c r="H11" s="1" t="str">
        <f t="shared" si="2"/>
        <v>A</v>
      </c>
      <c r="I11" t="str">
        <f t="shared" si="3"/>
        <v>Pass</v>
      </c>
      <c r="J11" t="str">
        <f t="shared" si="4"/>
        <v>Yes</v>
      </c>
      <c r="K11" t="str">
        <f t="shared" si="5"/>
        <v>Yes</v>
      </c>
      <c r="M11" s="7" t="s">
        <v>0</v>
      </c>
      <c r="N11" s="7">
        <v>101</v>
      </c>
    </row>
    <row r="12" spans="1:18" ht="18" customHeight="1">
      <c r="A12">
        <v>111</v>
      </c>
      <c r="B12" t="s">
        <v>30</v>
      </c>
      <c r="C12">
        <v>50</v>
      </c>
      <c r="D12">
        <v>55</v>
      </c>
      <c r="E12">
        <v>52</v>
      </c>
      <c r="F12">
        <f t="shared" si="0"/>
        <v>157</v>
      </c>
      <c r="G12" s="1">
        <f t="shared" si="1"/>
        <v>52.333333333333329</v>
      </c>
      <c r="H12" s="1" t="str">
        <f t="shared" si="2"/>
        <v>C</v>
      </c>
      <c r="I12" t="str">
        <f t="shared" si="3"/>
        <v>Pass</v>
      </c>
      <c r="J12" t="str">
        <f t="shared" si="4"/>
        <v>No</v>
      </c>
      <c r="K12" t="str">
        <f t="shared" si="5"/>
        <v>No</v>
      </c>
      <c r="M12" s="7" t="s">
        <v>31</v>
      </c>
      <c r="N12" s="8" t="str">
        <f>VLOOKUP(N11,Table2[[Id]:[Full Name]],2,FALSE)</f>
        <v>Rahul Sharma</v>
      </c>
    </row>
    <row r="13" spans="1:18">
      <c r="A13">
        <v>112</v>
      </c>
      <c r="B13" t="s">
        <v>32</v>
      </c>
      <c r="C13">
        <v>77</v>
      </c>
      <c r="D13">
        <v>80</v>
      </c>
      <c r="E13">
        <v>78</v>
      </c>
      <c r="F13">
        <f t="shared" si="0"/>
        <v>235</v>
      </c>
      <c r="G13" s="1">
        <f t="shared" si="1"/>
        <v>78.333333333333329</v>
      </c>
      <c r="H13" s="1" t="str">
        <f t="shared" si="2"/>
        <v>B</v>
      </c>
      <c r="I13" t="str">
        <f t="shared" si="3"/>
        <v>Pass</v>
      </c>
      <c r="J13" t="str">
        <f t="shared" si="4"/>
        <v>No</v>
      </c>
      <c r="K13" t="str">
        <f t="shared" si="5"/>
        <v>Yes</v>
      </c>
    </row>
    <row r="14" spans="1:18" ht="15.75" customHeight="1">
      <c r="A14">
        <v>113</v>
      </c>
      <c r="B14" t="s">
        <v>33</v>
      </c>
      <c r="C14">
        <v>69</v>
      </c>
      <c r="D14">
        <v>72</v>
      </c>
      <c r="E14">
        <v>70</v>
      </c>
      <c r="F14">
        <f t="shared" si="0"/>
        <v>211</v>
      </c>
      <c r="G14" s="1">
        <f t="shared" si="1"/>
        <v>70.333333333333343</v>
      </c>
      <c r="H14" s="1" t="str">
        <f t="shared" si="2"/>
        <v>B</v>
      </c>
      <c r="I14" t="str">
        <f t="shared" si="3"/>
        <v>Pass</v>
      </c>
      <c r="J14" t="str">
        <f t="shared" si="4"/>
        <v>No</v>
      </c>
      <c r="K14" t="str">
        <f t="shared" si="5"/>
        <v>No</v>
      </c>
      <c r="M14" s="13" t="s">
        <v>34</v>
      </c>
      <c r="N14" s="13"/>
      <c r="O14" s="13"/>
      <c r="P14" s="13"/>
      <c r="Q14" s="2"/>
    </row>
    <row r="15" spans="1:18">
      <c r="A15">
        <v>114</v>
      </c>
      <c r="B15" t="s">
        <v>35</v>
      </c>
      <c r="C15">
        <v>85</v>
      </c>
      <c r="D15">
        <v>87</v>
      </c>
      <c r="E15">
        <v>83</v>
      </c>
      <c r="F15">
        <f t="shared" si="0"/>
        <v>255</v>
      </c>
      <c r="G15" s="1">
        <f t="shared" si="1"/>
        <v>85</v>
      </c>
      <c r="H15" s="1" t="str">
        <f t="shared" si="2"/>
        <v>A</v>
      </c>
      <c r="I15" t="str">
        <f t="shared" si="3"/>
        <v>Pass</v>
      </c>
      <c r="J15" t="str">
        <f t="shared" si="4"/>
        <v>Yes</v>
      </c>
      <c r="K15" t="str">
        <f t="shared" si="5"/>
        <v>Yes</v>
      </c>
      <c r="M15" s="11" t="s">
        <v>2</v>
      </c>
      <c r="N15" s="11"/>
      <c r="O15" s="11">
        <f>MAX(Table2[Math])</f>
        <v>93</v>
      </c>
      <c r="P15" s="11"/>
    </row>
    <row r="16" spans="1:18">
      <c r="A16">
        <v>115</v>
      </c>
      <c r="B16" t="s">
        <v>36</v>
      </c>
      <c r="C16">
        <v>58</v>
      </c>
      <c r="D16">
        <v>60</v>
      </c>
      <c r="E16">
        <v>55</v>
      </c>
      <c r="F16">
        <f t="shared" si="0"/>
        <v>173</v>
      </c>
      <c r="G16" s="1">
        <f t="shared" si="1"/>
        <v>57.666666666666664</v>
      </c>
      <c r="H16" s="1" t="str">
        <f t="shared" si="2"/>
        <v>C</v>
      </c>
      <c r="I16" t="str">
        <f t="shared" si="3"/>
        <v>Pass</v>
      </c>
      <c r="J16" t="str">
        <f t="shared" si="4"/>
        <v>No</v>
      </c>
      <c r="K16" t="str">
        <f t="shared" si="5"/>
        <v>No</v>
      </c>
      <c r="M16" s="11" t="s">
        <v>3</v>
      </c>
      <c r="N16" s="11"/>
      <c r="O16" s="12">
        <f>MAX(Table2[Science])</f>
        <v>95</v>
      </c>
      <c r="P16" s="12"/>
    </row>
    <row r="17" spans="1:16">
      <c r="A17">
        <v>116</v>
      </c>
      <c r="B17" t="s">
        <v>37</v>
      </c>
      <c r="C17">
        <v>92</v>
      </c>
      <c r="D17">
        <v>95</v>
      </c>
      <c r="E17">
        <v>94</v>
      </c>
      <c r="F17">
        <f t="shared" si="0"/>
        <v>281</v>
      </c>
      <c r="G17" s="1">
        <f t="shared" si="1"/>
        <v>93.666666666666671</v>
      </c>
      <c r="H17" s="1" t="str">
        <f t="shared" si="2"/>
        <v>A</v>
      </c>
      <c r="I17" t="str">
        <f t="shared" si="3"/>
        <v>Pass</v>
      </c>
      <c r="J17" t="str">
        <f t="shared" si="4"/>
        <v>Yes</v>
      </c>
      <c r="K17" t="str">
        <f t="shared" si="5"/>
        <v>Yes</v>
      </c>
      <c r="M17" s="11" t="s">
        <v>4</v>
      </c>
      <c r="N17" s="11"/>
      <c r="O17" s="11">
        <f>MAX(Table2[English])</f>
        <v>95</v>
      </c>
      <c r="P17" s="11"/>
    </row>
    <row r="18" spans="1:16">
      <c r="A18">
        <v>117</v>
      </c>
      <c r="B18" t="s">
        <v>38</v>
      </c>
      <c r="C18">
        <v>66</v>
      </c>
      <c r="D18">
        <v>70</v>
      </c>
      <c r="E18">
        <v>68</v>
      </c>
      <c r="F18">
        <f t="shared" si="0"/>
        <v>204</v>
      </c>
      <c r="G18" s="1">
        <f t="shared" si="1"/>
        <v>68</v>
      </c>
      <c r="H18" s="1" t="str">
        <f t="shared" si="2"/>
        <v>C</v>
      </c>
      <c r="I18" t="str">
        <f t="shared" si="3"/>
        <v>Pass</v>
      </c>
      <c r="J18" t="str">
        <f t="shared" si="4"/>
        <v>No</v>
      </c>
      <c r="K18" t="str">
        <f t="shared" si="5"/>
        <v>No</v>
      </c>
    </row>
    <row r="19" spans="1:16">
      <c r="A19">
        <v>118</v>
      </c>
      <c r="B19" t="s">
        <v>39</v>
      </c>
      <c r="C19">
        <v>81</v>
      </c>
      <c r="D19">
        <v>84</v>
      </c>
      <c r="E19">
        <v>80</v>
      </c>
      <c r="F19">
        <f t="shared" si="0"/>
        <v>245</v>
      </c>
      <c r="G19" s="1">
        <f t="shared" si="1"/>
        <v>81.666666666666671</v>
      </c>
      <c r="H19" s="1" t="str">
        <f t="shared" si="2"/>
        <v>B</v>
      </c>
      <c r="I19" t="str">
        <f t="shared" si="3"/>
        <v>Pass</v>
      </c>
      <c r="J19" t="str">
        <f t="shared" si="4"/>
        <v>Yes</v>
      </c>
      <c r="K19" t="str">
        <f t="shared" si="5"/>
        <v>Yes</v>
      </c>
    </row>
    <row r="20" spans="1:16">
      <c r="A20">
        <v>119</v>
      </c>
      <c r="B20" t="s">
        <v>40</v>
      </c>
      <c r="C20">
        <v>73</v>
      </c>
      <c r="D20">
        <v>75</v>
      </c>
      <c r="E20">
        <v>70</v>
      </c>
      <c r="F20">
        <f t="shared" si="0"/>
        <v>218</v>
      </c>
      <c r="G20" s="1">
        <f t="shared" si="1"/>
        <v>72.666666666666671</v>
      </c>
      <c r="H20" s="1" t="str">
        <f t="shared" si="2"/>
        <v>B</v>
      </c>
      <c r="I20" t="str">
        <f t="shared" si="3"/>
        <v>Pass</v>
      </c>
      <c r="J20" t="str">
        <f t="shared" si="4"/>
        <v>No</v>
      </c>
      <c r="K20" t="str">
        <f t="shared" si="5"/>
        <v>No</v>
      </c>
    </row>
    <row r="21" spans="1:16">
      <c r="A21">
        <v>120</v>
      </c>
      <c r="B21" t="s">
        <v>41</v>
      </c>
      <c r="C21">
        <v>89</v>
      </c>
      <c r="D21">
        <v>90</v>
      </c>
      <c r="E21">
        <v>88</v>
      </c>
      <c r="F21">
        <f t="shared" si="0"/>
        <v>267</v>
      </c>
      <c r="G21" s="1">
        <f t="shared" si="1"/>
        <v>89</v>
      </c>
      <c r="H21" s="1" t="str">
        <f t="shared" si="2"/>
        <v>A</v>
      </c>
      <c r="I21" t="str">
        <f t="shared" si="3"/>
        <v>Pass</v>
      </c>
      <c r="J21" t="str">
        <f t="shared" si="4"/>
        <v>Yes</v>
      </c>
      <c r="K21" t="str">
        <f t="shared" si="5"/>
        <v>Yes</v>
      </c>
    </row>
    <row r="22" spans="1:16">
      <c r="A22">
        <v>121</v>
      </c>
      <c r="B22" t="s">
        <v>42</v>
      </c>
      <c r="C22">
        <v>60</v>
      </c>
      <c r="D22">
        <v>62</v>
      </c>
      <c r="E22">
        <v>58</v>
      </c>
      <c r="F22">
        <f t="shared" si="0"/>
        <v>180</v>
      </c>
      <c r="G22" s="1">
        <f t="shared" si="1"/>
        <v>60</v>
      </c>
      <c r="H22" s="1" t="str">
        <f t="shared" si="2"/>
        <v>C</v>
      </c>
      <c r="I22" t="str">
        <f t="shared" si="3"/>
        <v>Pass</v>
      </c>
      <c r="J22" t="str">
        <f t="shared" si="4"/>
        <v>No</v>
      </c>
      <c r="K22" t="str">
        <f t="shared" si="5"/>
        <v>No</v>
      </c>
    </row>
    <row r="23" spans="1:16">
      <c r="A23">
        <v>122</v>
      </c>
      <c r="B23" t="s">
        <v>43</v>
      </c>
      <c r="C23">
        <v>84</v>
      </c>
      <c r="D23">
        <v>86</v>
      </c>
      <c r="E23">
        <v>82</v>
      </c>
      <c r="F23">
        <f t="shared" si="0"/>
        <v>252</v>
      </c>
      <c r="G23" s="1">
        <f t="shared" si="1"/>
        <v>84</v>
      </c>
      <c r="H23" s="1" t="str">
        <f t="shared" si="2"/>
        <v>B</v>
      </c>
      <c r="I23" t="str">
        <f t="shared" si="3"/>
        <v>Pass</v>
      </c>
      <c r="J23" t="str">
        <f t="shared" si="4"/>
        <v>Yes</v>
      </c>
      <c r="K23" t="str">
        <f t="shared" si="5"/>
        <v>Yes</v>
      </c>
    </row>
    <row r="24" spans="1:16">
      <c r="A24">
        <v>123</v>
      </c>
      <c r="B24" t="s">
        <v>44</v>
      </c>
      <c r="C24">
        <v>76</v>
      </c>
      <c r="D24">
        <v>78</v>
      </c>
      <c r="E24">
        <v>74</v>
      </c>
      <c r="F24">
        <f t="shared" si="0"/>
        <v>228</v>
      </c>
      <c r="G24" s="1">
        <f t="shared" si="1"/>
        <v>76</v>
      </c>
      <c r="H24" s="1" t="str">
        <f t="shared" si="2"/>
        <v>B</v>
      </c>
      <c r="I24" t="str">
        <f t="shared" si="3"/>
        <v>Pass</v>
      </c>
      <c r="J24" t="str">
        <f t="shared" si="4"/>
        <v>No</v>
      </c>
      <c r="K24" t="str">
        <f t="shared" si="5"/>
        <v>No</v>
      </c>
    </row>
    <row r="25" spans="1:16">
      <c r="A25">
        <v>124</v>
      </c>
      <c r="B25" t="s">
        <v>45</v>
      </c>
      <c r="C25">
        <v>93</v>
      </c>
      <c r="D25">
        <v>91</v>
      </c>
      <c r="E25">
        <v>95</v>
      </c>
      <c r="F25">
        <f t="shared" si="0"/>
        <v>279</v>
      </c>
      <c r="G25" s="1">
        <f t="shared" si="1"/>
        <v>93</v>
      </c>
      <c r="H25" s="1" t="str">
        <f t="shared" si="2"/>
        <v>A</v>
      </c>
      <c r="I25" t="str">
        <f t="shared" si="3"/>
        <v>Pass</v>
      </c>
      <c r="J25" t="str">
        <f t="shared" si="4"/>
        <v>Yes</v>
      </c>
      <c r="K25" t="str">
        <f t="shared" si="5"/>
        <v>Yes</v>
      </c>
    </row>
    <row r="26" spans="1:16">
      <c r="A26">
        <v>125</v>
      </c>
      <c r="B26" t="s">
        <v>46</v>
      </c>
      <c r="C26">
        <v>55</v>
      </c>
      <c r="D26">
        <v>57</v>
      </c>
      <c r="E26">
        <v>52</v>
      </c>
      <c r="F26">
        <f t="shared" si="0"/>
        <v>164</v>
      </c>
      <c r="G26" s="1">
        <f t="shared" si="1"/>
        <v>54.666666666666664</v>
      </c>
      <c r="H26" s="1" t="str">
        <f t="shared" si="2"/>
        <v>C</v>
      </c>
      <c r="I26" t="str">
        <f t="shared" si="3"/>
        <v>Pass</v>
      </c>
      <c r="J26" t="str">
        <f t="shared" si="4"/>
        <v>No</v>
      </c>
      <c r="K26" t="str">
        <f t="shared" si="5"/>
        <v>No</v>
      </c>
    </row>
    <row r="27" spans="1:16">
      <c r="A27">
        <v>126</v>
      </c>
      <c r="B27" t="s">
        <v>47</v>
      </c>
      <c r="C27">
        <v>68</v>
      </c>
      <c r="D27">
        <v>70</v>
      </c>
      <c r="E27">
        <v>65</v>
      </c>
      <c r="F27">
        <f t="shared" si="0"/>
        <v>203</v>
      </c>
      <c r="G27" s="1">
        <f t="shared" si="1"/>
        <v>67.666666666666657</v>
      </c>
      <c r="H27" s="1" t="str">
        <f t="shared" si="2"/>
        <v>C</v>
      </c>
      <c r="I27" t="str">
        <f t="shared" si="3"/>
        <v>Pass</v>
      </c>
      <c r="J27" t="str">
        <f t="shared" si="4"/>
        <v>No</v>
      </c>
      <c r="K27" t="str">
        <f t="shared" si="5"/>
        <v>No</v>
      </c>
    </row>
    <row r="28" spans="1:16">
      <c r="A28">
        <v>127</v>
      </c>
      <c r="B28" t="s">
        <v>48</v>
      </c>
      <c r="C28">
        <v>80</v>
      </c>
      <c r="D28">
        <v>82</v>
      </c>
      <c r="E28">
        <v>79</v>
      </c>
      <c r="F28">
        <f t="shared" si="0"/>
        <v>241</v>
      </c>
      <c r="G28" s="1">
        <f t="shared" si="1"/>
        <v>80.333333333333329</v>
      </c>
      <c r="H28" s="1" t="str">
        <f t="shared" si="2"/>
        <v>B</v>
      </c>
      <c r="I28" t="str">
        <f t="shared" si="3"/>
        <v>Pass</v>
      </c>
      <c r="J28" t="str">
        <f t="shared" si="4"/>
        <v>Yes</v>
      </c>
      <c r="K28" t="str">
        <f t="shared" si="5"/>
        <v>Yes</v>
      </c>
    </row>
    <row r="29" spans="1:16">
      <c r="A29">
        <v>128</v>
      </c>
      <c r="B29" t="s">
        <v>49</v>
      </c>
      <c r="C29">
        <v>72</v>
      </c>
      <c r="D29">
        <v>74</v>
      </c>
      <c r="E29">
        <v>70</v>
      </c>
      <c r="F29">
        <f t="shared" si="0"/>
        <v>216</v>
      </c>
      <c r="G29" s="1">
        <f t="shared" si="1"/>
        <v>72</v>
      </c>
      <c r="H29" s="1" t="str">
        <f t="shared" si="2"/>
        <v>B</v>
      </c>
      <c r="I29" t="str">
        <f t="shared" si="3"/>
        <v>Pass</v>
      </c>
      <c r="J29" t="str">
        <f t="shared" si="4"/>
        <v>No</v>
      </c>
      <c r="K29" t="str">
        <f t="shared" si="5"/>
        <v>No</v>
      </c>
    </row>
    <row r="30" spans="1:16">
      <c r="A30">
        <v>129</v>
      </c>
      <c r="B30" t="s">
        <v>50</v>
      </c>
      <c r="C30">
        <v>87</v>
      </c>
      <c r="D30">
        <v>89</v>
      </c>
      <c r="E30">
        <v>85</v>
      </c>
      <c r="F30">
        <f t="shared" si="0"/>
        <v>261</v>
      </c>
      <c r="G30" s="1">
        <f t="shared" si="1"/>
        <v>87</v>
      </c>
      <c r="H30" s="1" t="str">
        <f t="shared" si="2"/>
        <v>A</v>
      </c>
      <c r="I30" t="str">
        <f t="shared" si="3"/>
        <v>Pass</v>
      </c>
      <c r="J30" t="str">
        <f t="shared" si="4"/>
        <v>Yes</v>
      </c>
      <c r="K30" t="str">
        <f t="shared" si="5"/>
        <v>Yes</v>
      </c>
    </row>
    <row r="31" spans="1:16">
      <c r="A31">
        <v>130</v>
      </c>
      <c r="B31" t="s">
        <v>51</v>
      </c>
      <c r="C31">
        <v>61</v>
      </c>
      <c r="D31">
        <v>64</v>
      </c>
      <c r="E31">
        <v>60</v>
      </c>
      <c r="F31">
        <f t="shared" si="0"/>
        <v>185</v>
      </c>
      <c r="G31" s="1">
        <f t="shared" si="1"/>
        <v>61.666666666666671</v>
      </c>
      <c r="H31" s="1" t="str">
        <f t="shared" si="2"/>
        <v>C</v>
      </c>
      <c r="I31" t="str">
        <f t="shared" si="3"/>
        <v>Pass</v>
      </c>
      <c r="J31" t="str">
        <f t="shared" si="4"/>
        <v>No</v>
      </c>
      <c r="K31" t="str">
        <f t="shared" si="5"/>
        <v>No</v>
      </c>
    </row>
  </sheetData>
  <mergeCells count="18">
    <mergeCell ref="M2:N2"/>
    <mergeCell ref="M3:N3"/>
    <mergeCell ref="M4:N4"/>
    <mergeCell ref="P2:Q2"/>
    <mergeCell ref="P3:Q3"/>
    <mergeCell ref="P4:Q4"/>
    <mergeCell ref="M17:N17"/>
    <mergeCell ref="O15:P15"/>
    <mergeCell ref="O16:P16"/>
    <mergeCell ref="O17:P17"/>
    <mergeCell ref="M6:N6"/>
    <mergeCell ref="M9:N9"/>
    <mergeCell ref="M10:N10"/>
    <mergeCell ref="M14:P14"/>
    <mergeCell ref="P6:Q6"/>
    <mergeCell ref="P7:Q7"/>
    <mergeCell ref="M15:N15"/>
    <mergeCell ref="M16:N1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1A52-39D7-43BB-89F4-3D8B96DCD0B8}">
  <dimension ref="A1:X19"/>
  <sheetViews>
    <sheetView tabSelected="1" workbookViewId="0">
      <selection activeCell="R18" sqref="R18:S18"/>
    </sheetView>
  </sheetViews>
  <sheetFormatPr defaultRowHeight="15"/>
  <cols>
    <col min="1" max="2" width="10.140625" bestFit="1" customWidth="1"/>
    <col min="3" max="3" width="13.85546875" bestFit="1" customWidth="1"/>
    <col min="4" max="4" width="9.28515625" bestFit="1" customWidth="1"/>
    <col min="5" max="5" width="12.85546875" bestFit="1" customWidth="1"/>
    <col min="6" max="6" width="15.5703125" customWidth="1"/>
    <col min="7" max="7" width="11.140625" customWidth="1"/>
    <col min="8" max="8" width="11.140625" bestFit="1" customWidth="1"/>
    <col min="9" max="9" width="15.28515625" customWidth="1"/>
    <col min="10" max="10" width="18.7109375" bestFit="1" customWidth="1"/>
    <col min="11" max="11" width="17" bestFit="1" customWidth="1"/>
    <col min="12" max="12" width="19.28515625" bestFit="1" customWidth="1"/>
    <col min="13" max="13" width="17.5703125" bestFit="1" customWidth="1"/>
    <col min="16" max="16" width="12.7109375" bestFit="1" customWidth="1"/>
    <col min="17" max="17" width="13.42578125" bestFit="1" customWidth="1"/>
    <col min="19" max="19" width="11.140625" customWidth="1"/>
    <col min="21" max="21" width="15" customWidth="1"/>
    <col min="23" max="23" width="12.85546875" bestFit="1" customWidth="1"/>
  </cols>
  <sheetData>
    <row r="1" spans="1:24">
      <c r="A1" s="3" t="s">
        <v>52</v>
      </c>
      <c r="B1" t="s">
        <v>53</v>
      </c>
      <c r="C1" t="s">
        <v>54</v>
      </c>
      <c r="D1" t="s">
        <v>55</v>
      </c>
      <c r="E1" s="4" t="s">
        <v>56</v>
      </c>
      <c r="F1" s="5" t="s">
        <v>57</v>
      </c>
      <c r="G1" t="s">
        <v>58</v>
      </c>
      <c r="H1" t="s">
        <v>59</v>
      </c>
      <c r="I1" t="s">
        <v>60</v>
      </c>
      <c r="J1" s="6" t="s">
        <v>61</v>
      </c>
      <c r="K1" t="s">
        <v>62</v>
      </c>
      <c r="L1" t="s">
        <v>63</v>
      </c>
      <c r="M1" t="s">
        <v>64</v>
      </c>
    </row>
    <row r="2" spans="1:24" ht="15" customHeight="1">
      <c r="A2" s="3">
        <v>101</v>
      </c>
      <c r="B2" t="s">
        <v>65</v>
      </c>
      <c r="C2" t="s">
        <v>11</v>
      </c>
      <c r="D2" t="s">
        <v>66</v>
      </c>
      <c r="E2" s="4">
        <v>25865</v>
      </c>
      <c r="F2" s="5">
        <v>45309</v>
      </c>
      <c r="G2" t="str">
        <f>TEXT(F2,"MMM")</f>
        <v>Jan</v>
      </c>
      <c r="H2" t="str">
        <f>TEXT(F2,"DDD")</f>
        <v>Thu</v>
      </c>
      <c r="I2" t="str">
        <f>IF(E2&gt;=40000,"10% OFF",IF(E2&gt;=30000,"5% OFF","No Discount"))</f>
        <v>No Discount</v>
      </c>
      <c r="J2" s="9" cm="1">
        <f t="array" ref="J2">_xlfn.IFS(I2="10% OFF",E2*10%,I2="5% OFF",E2*5%,I2="No Discount", 0)</f>
        <v>0</v>
      </c>
      <c r="K2">
        <f>ROUND(J2,0)</f>
        <v>0</v>
      </c>
      <c r="L2">
        <f>CEILING(J2,100)</f>
        <v>0</v>
      </c>
      <c r="M2">
        <f>FLOOR(J2,100)</f>
        <v>0</v>
      </c>
      <c r="P2" s="16" t="s">
        <v>67</v>
      </c>
      <c r="Q2" s="16"/>
      <c r="R2" s="16"/>
      <c r="S2" s="16"/>
      <c r="U2" s="16" t="s">
        <v>68</v>
      </c>
      <c r="V2" s="16"/>
      <c r="W2" s="16"/>
    </row>
    <row r="3" spans="1:24">
      <c r="A3" s="3">
        <v>102</v>
      </c>
      <c r="B3" t="s">
        <v>69</v>
      </c>
      <c r="C3" t="s">
        <v>17</v>
      </c>
      <c r="D3" t="s">
        <v>70</v>
      </c>
      <c r="E3" s="4">
        <v>12300</v>
      </c>
      <c r="F3" s="5">
        <v>45316</v>
      </c>
      <c r="G3" t="str">
        <f t="shared" ref="G3:G16" si="0">TEXT(F3,"MMM")</f>
        <v>Jan</v>
      </c>
      <c r="H3" t="str">
        <f t="shared" ref="H3:H16" si="1">TEXT(F3,"DDD")</f>
        <v>Thu</v>
      </c>
      <c r="I3" t="str">
        <f t="shared" ref="I3:I16" si="2">IF(E3&gt;=40000,"10% OFF",IF(E3&gt;=30000,"5% OFF","No Discount"))</f>
        <v>No Discount</v>
      </c>
      <c r="J3" s="10" cm="1">
        <f t="array" ref="J3">_xlfn.IFS(I2="10% OFF",E2*10%,I2="5% OFF",E2*5%,I2="No Discount", 0)</f>
        <v>0</v>
      </c>
      <c r="K3">
        <f t="shared" ref="K3:K16" si="3">ROUND(J3,0)</f>
        <v>0</v>
      </c>
      <c r="L3">
        <f t="shared" ref="L3:L16" si="4">CEILING(J3,100)</f>
        <v>0</v>
      </c>
      <c r="M3">
        <f>FLOOR(J3,100)</f>
        <v>0</v>
      </c>
      <c r="P3" s="19" t="s">
        <v>70</v>
      </c>
      <c r="Q3" s="19"/>
      <c r="R3" s="20">
        <f>SUMIFS(Table3[Amount],Table3[Region],"North",Table3[Product],"Laptop")</f>
        <v>15560</v>
      </c>
      <c r="S3" s="20"/>
      <c r="U3" s="19" t="s">
        <v>52</v>
      </c>
      <c r="V3" s="19"/>
      <c r="W3" s="22">
        <v>109</v>
      </c>
    </row>
    <row r="4" spans="1:24">
      <c r="A4" s="3">
        <v>103</v>
      </c>
      <c r="B4" t="s">
        <v>69</v>
      </c>
      <c r="C4" t="s">
        <v>19</v>
      </c>
      <c r="D4" t="s">
        <v>71</v>
      </c>
      <c r="E4" s="4">
        <v>30290</v>
      </c>
      <c r="F4" s="5">
        <v>45337</v>
      </c>
      <c r="G4" t="str">
        <f t="shared" si="0"/>
        <v>Feb</v>
      </c>
      <c r="H4" t="str">
        <f t="shared" si="1"/>
        <v>Thu</v>
      </c>
      <c r="I4" t="str">
        <f t="shared" si="2"/>
        <v>5% OFF</v>
      </c>
      <c r="J4" s="10" cm="1">
        <f t="array" ref="J4">_xlfn.IFS(I3="10% OFF",E3*10%,I3="5% OFF",E3*5%,I3="No Discount", 0)</f>
        <v>0</v>
      </c>
      <c r="K4">
        <f t="shared" si="3"/>
        <v>0</v>
      </c>
      <c r="L4">
        <f t="shared" si="4"/>
        <v>0</v>
      </c>
      <c r="M4">
        <f>FLOOR(J4,100)</f>
        <v>0</v>
      </c>
      <c r="P4" s="19" t="s">
        <v>71</v>
      </c>
      <c r="Q4" s="19"/>
      <c r="R4" s="20">
        <f>SUMIFS(Table3[Amount],Table3[Region],"East",Table3[Product],"Laptop")</f>
        <v>31460</v>
      </c>
      <c r="S4" s="20"/>
      <c r="U4" s="19" t="s">
        <v>72</v>
      </c>
      <c r="V4" s="19"/>
      <c r="W4" s="22">
        <f>VLOOKUP(W3,Table3[[Sales ID]:[Amount]],5,0)</f>
        <v>44879</v>
      </c>
    </row>
    <row r="5" spans="1:24">
      <c r="A5" s="3">
        <v>104</v>
      </c>
      <c r="B5" t="s">
        <v>65</v>
      </c>
      <c r="C5" t="s">
        <v>24</v>
      </c>
      <c r="D5" t="s">
        <v>73</v>
      </c>
      <c r="E5" s="4">
        <v>21678</v>
      </c>
      <c r="F5" s="5">
        <v>45373</v>
      </c>
      <c r="G5" t="str">
        <f t="shared" si="0"/>
        <v>Mar</v>
      </c>
      <c r="H5" t="str">
        <f t="shared" si="1"/>
        <v>Fri</v>
      </c>
      <c r="I5" t="str">
        <f t="shared" si="2"/>
        <v>No Discount</v>
      </c>
      <c r="J5" s="10" cm="1">
        <f t="array" ref="J5">_xlfn.IFS(I4="10% OFF",E4*10%,I4="5% OFF",E4*5%,I4="No Discount", 0)</f>
        <v>1514.5</v>
      </c>
      <c r="K5">
        <f t="shared" si="3"/>
        <v>1515</v>
      </c>
      <c r="L5">
        <f t="shared" si="4"/>
        <v>1600</v>
      </c>
      <c r="M5">
        <f>FLOOR(J5,100)</f>
        <v>1500</v>
      </c>
      <c r="P5" s="19" t="s">
        <v>66</v>
      </c>
      <c r="Q5" s="19"/>
      <c r="R5" s="20">
        <f>SUMIFS(Table3[Amount],Table3[Region],"South",Table3[Product],"Laptop")</f>
        <v>45829</v>
      </c>
      <c r="S5" s="20"/>
    </row>
    <row r="6" spans="1:24">
      <c r="A6" s="3">
        <v>105</v>
      </c>
      <c r="B6" t="s">
        <v>65</v>
      </c>
      <c r="C6" t="s">
        <v>27</v>
      </c>
      <c r="D6" t="s">
        <v>70</v>
      </c>
      <c r="E6" s="4">
        <v>15560</v>
      </c>
      <c r="F6" s="5">
        <v>45392</v>
      </c>
      <c r="G6" t="str">
        <f t="shared" si="0"/>
        <v>Apr</v>
      </c>
      <c r="H6" t="str">
        <f t="shared" si="1"/>
        <v>Wed</v>
      </c>
      <c r="I6" t="str">
        <f t="shared" si="2"/>
        <v>No Discount</v>
      </c>
      <c r="J6" s="10" cm="1">
        <f t="array" ref="J6">_xlfn.IFS(I5="10% OFF",E5*10%,I5="5% OFF",E5*5%,I5="No Discount", 0)</f>
        <v>0</v>
      </c>
      <c r="K6">
        <f t="shared" si="3"/>
        <v>0</v>
      </c>
      <c r="L6">
        <f t="shared" si="4"/>
        <v>0</v>
      </c>
      <c r="M6">
        <f>FLOOR(J6,100)</f>
        <v>0</v>
      </c>
      <c r="P6" s="19" t="s">
        <v>73</v>
      </c>
      <c r="Q6" s="19"/>
      <c r="R6" s="20">
        <f>SUMIFS(Table3[Amount],Table3[Region],"West",Table3[Product],"Laptop")</f>
        <v>21678</v>
      </c>
      <c r="S6" s="20"/>
    </row>
    <row r="7" spans="1:24">
      <c r="A7" s="3">
        <v>106</v>
      </c>
      <c r="B7" t="s">
        <v>65</v>
      </c>
      <c r="C7" t="s">
        <v>30</v>
      </c>
      <c r="D7" t="s">
        <v>66</v>
      </c>
      <c r="E7" s="4">
        <v>19964</v>
      </c>
      <c r="F7" s="5">
        <v>45398</v>
      </c>
      <c r="G7" t="str">
        <f t="shared" si="0"/>
        <v>Apr</v>
      </c>
      <c r="H7" t="str">
        <f t="shared" si="1"/>
        <v>Tue</v>
      </c>
      <c r="I7" t="str">
        <f t="shared" si="2"/>
        <v>No Discount</v>
      </c>
      <c r="J7" s="10" cm="1">
        <f t="array" ref="J7">_xlfn.IFS(I6="10% OFF",E6*10%,I6="5% OFF",E6*5%,I6="No Discount", 0)</f>
        <v>0</v>
      </c>
      <c r="K7">
        <f t="shared" si="3"/>
        <v>0</v>
      </c>
      <c r="L7">
        <f t="shared" si="4"/>
        <v>0</v>
      </c>
      <c r="M7">
        <f t="shared" ref="M7:M16" si="5">FLOOR(J7,100)</f>
        <v>0</v>
      </c>
      <c r="U7" s="16" t="s">
        <v>74</v>
      </c>
      <c r="V7" s="16"/>
      <c r="W7" s="16"/>
      <c r="X7" s="16"/>
    </row>
    <row r="8" spans="1:24">
      <c r="A8" s="3">
        <v>107</v>
      </c>
      <c r="B8" t="s">
        <v>75</v>
      </c>
      <c r="C8" t="s">
        <v>33</v>
      </c>
      <c r="D8" t="s">
        <v>71</v>
      </c>
      <c r="E8" s="4">
        <v>21600</v>
      </c>
      <c r="F8" s="5">
        <v>45425</v>
      </c>
      <c r="G8" t="str">
        <f t="shared" si="0"/>
        <v>May</v>
      </c>
      <c r="H8" t="str">
        <f t="shared" si="1"/>
        <v>Mon</v>
      </c>
      <c r="I8" t="str">
        <f t="shared" si="2"/>
        <v>No Discount</v>
      </c>
      <c r="J8" s="10" cm="1">
        <f t="array" ref="J8">_xlfn.IFS(I7="10% OFF",E7*10%,I7="5% OFF",E7*5%,I7="No Discount", 0)</f>
        <v>0</v>
      </c>
      <c r="K8">
        <f t="shared" si="3"/>
        <v>0</v>
      </c>
      <c r="L8">
        <f t="shared" si="4"/>
        <v>0</v>
      </c>
      <c r="M8">
        <f t="shared" si="5"/>
        <v>0</v>
      </c>
      <c r="P8" s="16" t="s">
        <v>76</v>
      </c>
      <c r="Q8" s="16"/>
      <c r="R8" s="16"/>
      <c r="S8" s="16"/>
      <c r="U8" s="19" t="s">
        <v>77</v>
      </c>
      <c r="V8" s="19"/>
      <c r="W8" s="23" t="s">
        <v>36</v>
      </c>
      <c r="X8" s="23"/>
    </row>
    <row r="9" spans="1:24">
      <c r="A9" s="3">
        <v>108</v>
      </c>
      <c r="B9" t="s">
        <v>78</v>
      </c>
      <c r="C9" t="s">
        <v>36</v>
      </c>
      <c r="D9" t="s">
        <v>73</v>
      </c>
      <c r="E9" s="4">
        <v>41871</v>
      </c>
      <c r="F9" s="5">
        <v>45438</v>
      </c>
      <c r="G9" t="str">
        <f t="shared" si="0"/>
        <v>May</v>
      </c>
      <c r="H9" t="str">
        <f t="shared" si="1"/>
        <v>Sun</v>
      </c>
      <c r="I9" t="str">
        <f t="shared" si="2"/>
        <v>10% OFF</v>
      </c>
      <c r="J9" s="10" cm="1">
        <f t="array" ref="J9">_xlfn.IFS(I8="10% OFF",E8*10%,I8="5% OFF",E8*5%,I8="No Discount", 0)</f>
        <v>0</v>
      </c>
      <c r="K9">
        <f t="shared" si="3"/>
        <v>0</v>
      </c>
      <c r="L9">
        <f t="shared" si="4"/>
        <v>0</v>
      </c>
      <c r="M9">
        <f t="shared" si="5"/>
        <v>0</v>
      </c>
      <c r="P9" s="19" t="s">
        <v>70</v>
      </c>
      <c r="Q9" s="19"/>
      <c r="R9" s="20">
        <f>SUMIFS(Table3[Amount],Table3[Region],"North")</f>
        <v>55460</v>
      </c>
      <c r="S9" s="20"/>
      <c r="U9" s="19" t="s">
        <v>79</v>
      </c>
      <c r="V9" s="19"/>
      <c r="W9" s="20" t="str">
        <f>_xlfn.XLOOKUP(W8,Table3[Salesperson],Table3[Product],"Not Found")</f>
        <v>Tv</v>
      </c>
      <c r="X9" s="20"/>
    </row>
    <row r="10" spans="1:24">
      <c r="A10" s="3">
        <v>109</v>
      </c>
      <c r="B10" t="s">
        <v>78</v>
      </c>
      <c r="C10" t="s">
        <v>38</v>
      </c>
      <c r="D10" t="s">
        <v>66</v>
      </c>
      <c r="E10" s="4">
        <v>44879</v>
      </c>
      <c r="F10" s="5">
        <v>45450</v>
      </c>
      <c r="G10" t="str">
        <f t="shared" si="0"/>
        <v>Jun</v>
      </c>
      <c r="H10" t="str">
        <f t="shared" si="1"/>
        <v>Fri</v>
      </c>
      <c r="I10" t="str">
        <f t="shared" si="2"/>
        <v>10% OFF</v>
      </c>
      <c r="J10" s="10" cm="1">
        <f t="array" ref="J10">_xlfn.IFS(I9="10% OFF",E9*10%,I9="5% OFF",E9*5%,I9="No Discount", 0)</f>
        <v>4187.1000000000004</v>
      </c>
      <c r="K10">
        <f t="shared" si="3"/>
        <v>4187</v>
      </c>
      <c r="L10">
        <f t="shared" si="4"/>
        <v>4200</v>
      </c>
      <c r="M10">
        <f t="shared" si="5"/>
        <v>4100</v>
      </c>
      <c r="P10" s="19" t="s">
        <v>71</v>
      </c>
      <c r="Q10" s="19"/>
      <c r="R10" s="20">
        <f>SUMIFS(Table3[Amount],Table3[Region],"East")</f>
        <v>117303</v>
      </c>
      <c r="S10" s="20"/>
    </row>
    <row r="11" spans="1:24">
      <c r="A11" s="3">
        <v>110</v>
      </c>
      <c r="B11" t="s">
        <v>75</v>
      </c>
      <c r="C11" t="s">
        <v>40</v>
      </c>
      <c r="D11" t="s">
        <v>70</v>
      </c>
      <c r="E11" s="4">
        <v>7843</v>
      </c>
      <c r="F11" s="5">
        <v>45462</v>
      </c>
      <c r="G11" t="str">
        <f t="shared" si="0"/>
        <v>Jun</v>
      </c>
      <c r="H11" t="str">
        <f t="shared" si="1"/>
        <v>Wed</v>
      </c>
      <c r="I11" t="str">
        <f t="shared" si="2"/>
        <v>No Discount</v>
      </c>
      <c r="J11" s="10" cm="1">
        <f t="array" ref="J11">_xlfn.IFS(I10="10% OFF",E10*10%,I10="5% OFF",E10*5%,I10="No Discount", 0)</f>
        <v>4487.9000000000005</v>
      </c>
      <c r="K11">
        <f t="shared" si="3"/>
        <v>4488</v>
      </c>
      <c r="L11">
        <f t="shared" si="4"/>
        <v>4500</v>
      </c>
      <c r="M11">
        <f t="shared" si="5"/>
        <v>4400</v>
      </c>
      <c r="P11" s="19" t="s">
        <v>66</v>
      </c>
      <c r="Q11" s="19"/>
      <c r="R11" s="20">
        <f>SUMIFS(Table3[Amount],Table3[Region],"South")</f>
        <v>121168</v>
      </c>
      <c r="S11" s="20"/>
      <c r="U11" s="16" t="s">
        <v>80</v>
      </c>
      <c r="V11" s="16"/>
      <c r="W11" s="16"/>
      <c r="X11" s="16"/>
    </row>
    <row r="12" spans="1:24">
      <c r="A12" s="3">
        <v>111</v>
      </c>
      <c r="B12" t="s">
        <v>78</v>
      </c>
      <c r="C12" t="s">
        <v>42</v>
      </c>
      <c r="D12" t="s">
        <v>71</v>
      </c>
      <c r="E12" s="4">
        <v>33953</v>
      </c>
      <c r="F12" s="5">
        <v>45484</v>
      </c>
      <c r="G12" t="str">
        <f t="shared" si="0"/>
        <v>Jul</v>
      </c>
      <c r="H12" t="str">
        <f t="shared" si="1"/>
        <v>Thu</v>
      </c>
      <c r="I12" t="str">
        <f t="shared" si="2"/>
        <v>5% OFF</v>
      </c>
      <c r="J12" s="10" cm="1">
        <f t="array" ref="J12">_xlfn.IFS(I11="10% OFF",E11*10%,I11="5% OFF",E11*5%,I11="No Discount", 0)</f>
        <v>0</v>
      </c>
      <c r="K12">
        <f t="shared" si="3"/>
        <v>0</v>
      </c>
      <c r="L12">
        <f t="shared" si="4"/>
        <v>0</v>
      </c>
      <c r="M12">
        <f t="shared" si="5"/>
        <v>0</v>
      </c>
      <c r="P12" s="19" t="s">
        <v>73</v>
      </c>
      <c r="Q12" s="19"/>
      <c r="R12" s="20">
        <f>SUMIFS(Table3[Amount],Table3[Region],"West")</f>
        <v>81377</v>
      </c>
      <c r="S12" s="20"/>
      <c r="U12" s="19" t="s">
        <v>52</v>
      </c>
      <c r="V12" s="19"/>
      <c r="W12" s="20">
        <v>113</v>
      </c>
      <c r="X12" s="20"/>
    </row>
    <row r="13" spans="1:24">
      <c r="A13" s="3">
        <v>112</v>
      </c>
      <c r="B13" t="s">
        <v>69</v>
      </c>
      <c r="C13" t="s">
        <v>44</v>
      </c>
      <c r="D13" t="s">
        <v>73</v>
      </c>
      <c r="E13" s="4">
        <v>17828</v>
      </c>
      <c r="F13" s="5">
        <v>45497</v>
      </c>
      <c r="G13" t="str">
        <f t="shared" si="0"/>
        <v>Jul</v>
      </c>
      <c r="H13" t="str">
        <f t="shared" si="1"/>
        <v>Wed</v>
      </c>
      <c r="I13" t="str">
        <f t="shared" si="2"/>
        <v>No Discount</v>
      </c>
      <c r="J13" s="10" cm="1">
        <f t="array" ref="J13">_xlfn.IFS(I12="10% OFF",E12*10%,I12="5% OFF",E12*5%,I12="No Discount", 0)</f>
        <v>1697.65</v>
      </c>
      <c r="K13">
        <f t="shared" si="3"/>
        <v>1698</v>
      </c>
      <c r="L13">
        <f t="shared" si="4"/>
        <v>1700</v>
      </c>
      <c r="M13">
        <f t="shared" si="5"/>
        <v>1600</v>
      </c>
      <c r="U13" s="19" t="s">
        <v>81</v>
      </c>
      <c r="V13" s="19"/>
      <c r="W13" s="20" t="str">
        <f>INDEX(Table3[Salesperson], MATCH(W12,Table3[Sales ID],0))</f>
        <v>Gaurav Shah</v>
      </c>
      <c r="X13" s="20"/>
    </row>
    <row r="14" spans="1:24">
      <c r="A14" s="3">
        <v>113</v>
      </c>
      <c r="B14" t="s">
        <v>75</v>
      </c>
      <c r="C14" t="s">
        <v>46</v>
      </c>
      <c r="D14" t="s">
        <v>66</v>
      </c>
      <c r="E14" s="4">
        <v>30460</v>
      </c>
      <c r="F14" s="5">
        <v>45509</v>
      </c>
      <c r="G14" t="str">
        <f t="shared" si="0"/>
        <v>Aug</v>
      </c>
      <c r="H14" t="str">
        <f t="shared" si="1"/>
        <v>Mon</v>
      </c>
      <c r="I14" t="str">
        <f t="shared" si="2"/>
        <v>5% OFF</v>
      </c>
      <c r="J14" s="10" cm="1">
        <f t="array" ref="J14">_xlfn.IFS(I13="10% OFF",E13*10%,I13="5% OFF",E13*5%,I13="No Discount", 0)</f>
        <v>0</v>
      </c>
      <c r="K14">
        <f t="shared" si="3"/>
        <v>0</v>
      </c>
      <c r="L14">
        <f t="shared" si="4"/>
        <v>0</v>
      </c>
      <c r="M14">
        <f t="shared" si="5"/>
        <v>0</v>
      </c>
      <c r="P14" s="16" t="s">
        <v>82</v>
      </c>
      <c r="Q14" s="16"/>
      <c r="R14" s="16"/>
      <c r="S14" s="16"/>
    </row>
    <row r="15" spans="1:24">
      <c r="A15" s="3">
        <v>114</v>
      </c>
      <c r="B15" t="s">
        <v>75</v>
      </c>
      <c r="C15" t="s">
        <v>47</v>
      </c>
      <c r="D15" t="s">
        <v>70</v>
      </c>
      <c r="E15" s="4">
        <v>19757</v>
      </c>
      <c r="F15" s="5">
        <v>45521</v>
      </c>
      <c r="G15" t="str">
        <f t="shared" si="0"/>
        <v>Aug</v>
      </c>
      <c r="H15" t="str">
        <f t="shared" si="1"/>
        <v>Sat</v>
      </c>
      <c r="I15" t="str">
        <f t="shared" si="2"/>
        <v>No Discount</v>
      </c>
      <c r="J15" s="10" cm="1">
        <f t="array" ref="J15">_xlfn.IFS(I14="10% OFF",E14*10%,I14="5% OFF",E14*5%,I14="No Discount", 0)</f>
        <v>1523</v>
      </c>
      <c r="K15">
        <f t="shared" si="3"/>
        <v>1523</v>
      </c>
      <c r="L15">
        <f t="shared" si="4"/>
        <v>1600</v>
      </c>
      <c r="M15">
        <f t="shared" si="5"/>
        <v>1500</v>
      </c>
      <c r="P15" s="17" t="s">
        <v>83</v>
      </c>
      <c r="Q15" s="17" t="s">
        <v>84</v>
      </c>
      <c r="R15" s="18" t="s">
        <v>56</v>
      </c>
      <c r="S15" s="18"/>
      <c r="U15" s="16" t="s">
        <v>85</v>
      </c>
      <c r="V15" s="16"/>
      <c r="W15" s="16"/>
      <c r="X15" s="16"/>
    </row>
    <row r="16" spans="1:24">
      <c r="A16" s="3">
        <v>115</v>
      </c>
      <c r="B16" t="s">
        <v>65</v>
      </c>
      <c r="C16" t="s">
        <v>86</v>
      </c>
      <c r="D16" t="s">
        <v>71</v>
      </c>
      <c r="E16" s="4">
        <v>31460</v>
      </c>
      <c r="F16" s="5">
        <v>45557</v>
      </c>
      <c r="G16" t="str">
        <f t="shared" si="0"/>
        <v>Sep</v>
      </c>
      <c r="H16" t="str">
        <f t="shared" si="1"/>
        <v>Sun</v>
      </c>
      <c r="I16" t="str">
        <f t="shared" si="2"/>
        <v>5% OFF</v>
      </c>
      <c r="J16" s="10" cm="1">
        <f t="array" ref="J16">_xlfn.IFS(I15="10% OFF",E15*10%,I15="5% OFF",E15*5%,I15="No Discount", 0)</f>
        <v>0</v>
      </c>
      <c r="K16">
        <f t="shared" si="3"/>
        <v>0</v>
      </c>
      <c r="L16">
        <f t="shared" si="4"/>
        <v>0</v>
      </c>
      <c r="M16">
        <f t="shared" si="5"/>
        <v>0</v>
      </c>
      <c r="P16" s="22">
        <v>101</v>
      </c>
      <c r="Q16" s="24" t="s">
        <v>65</v>
      </c>
      <c r="R16" s="20">
        <f>_xlfn.MINIFS(Table3[Amount], Table3[Product],Q16)</f>
        <v>15560</v>
      </c>
      <c r="S16" s="20"/>
      <c r="U16" s="19" t="s">
        <v>78</v>
      </c>
      <c r="V16" s="19"/>
      <c r="W16" s="20">
        <f>_xlfn.XMATCH("Tv",Table3[Product])</f>
        <v>8</v>
      </c>
      <c r="X16" s="20"/>
    </row>
    <row r="17" spans="16:24">
      <c r="P17" s="22">
        <v>102</v>
      </c>
      <c r="Q17" s="22" t="s">
        <v>78</v>
      </c>
      <c r="R17" s="20">
        <f>_xlfn.MINIFS(Table3[Amount], Table3[Product],Q17)</f>
        <v>33953</v>
      </c>
      <c r="S17" s="20"/>
      <c r="U17" s="19" t="s">
        <v>65</v>
      </c>
      <c r="V17" s="19"/>
      <c r="W17" s="20">
        <f>_xlfn.XMATCH("Laptop",Table3[Product])</f>
        <v>1</v>
      </c>
      <c r="X17" s="20"/>
    </row>
    <row r="18" spans="16:24">
      <c r="P18" s="22">
        <v>103</v>
      </c>
      <c r="Q18" s="22" t="s">
        <v>69</v>
      </c>
      <c r="R18" s="20">
        <f>_xlfn.MINIFS(Table3[Amount], Table3[Product],Q18)</f>
        <v>12300</v>
      </c>
      <c r="S18" s="20"/>
      <c r="U18" s="19" t="s">
        <v>69</v>
      </c>
      <c r="V18" s="19"/>
      <c r="W18" s="20">
        <f>_xlfn.XMATCH("Phone",Table3[Product])</f>
        <v>2</v>
      </c>
      <c r="X18" s="20"/>
    </row>
    <row r="19" spans="16:24">
      <c r="U19" s="21" t="s">
        <v>75</v>
      </c>
      <c r="V19" s="21"/>
      <c r="W19" s="20">
        <f>_xlfn.XMATCH("Speaker",Table3[Product])</f>
        <v>7</v>
      </c>
      <c r="X19" s="20"/>
    </row>
  </sheetData>
  <mergeCells count="45">
    <mergeCell ref="P2:S2"/>
    <mergeCell ref="P3:Q3"/>
    <mergeCell ref="P4:Q4"/>
    <mergeCell ref="P5:Q5"/>
    <mergeCell ref="P6:Q6"/>
    <mergeCell ref="R3:S3"/>
    <mergeCell ref="R4:S4"/>
    <mergeCell ref="R5:S5"/>
    <mergeCell ref="R6:S6"/>
    <mergeCell ref="P10:Q10"/>
    <mergeCell ref="P11:Q11"/>
    <mergeCell ref="P12:Q12"/>
    <mergeCell ref="R9:S9"/>
    <mergeCell ref="R10:S10"/>
    <mergeCell ref="R11:S11"/>
    <mergeCell ref="R12:S12"/>
    <mergeCell ref="U9:V9"/>
    <mergeCell ref="W8:X8"/>
    <mergeCell ref="W9:X9"/>
    <mergeCell ref="P8:S8"/>
    <mergeCell ref="P9:Q9"/>
    <mergeCell ref="U2:W2"/>
    <mergeCell ref="U3:V3"/>
    <mergeCell ref="U4:V4"/>
    <mergeCell ref="U7:X7"/>
    <mergeCell ref="U8:V8"/>
    <mergeCell ref="P14:S14"/>
    <mergeCell ref="R15:S15"/>
    <mergeCell ref="R16:S16"/>
    <mergeCell ref="R17:S17"/>
    <mergeCell ref="R18:S18"/>
    <mergeCell ref="W12:X12"/>
    <mergeCell ref="W13:X13"/>
    <mergeCell ref="U11:X11"/>
    <mergeCell ref="U15:X15"/>
    <mergeCell ref="U16:V16"/>
    <mergeCell ref="U12:V12"/>
    <mergeCell ref="U13:V13"/>
    <mergeCell ref="U19:V19"/>
    <mergeCell ref="W16:X16"/>
    <mergeCell ref="W17:X17"/>
    <mergeCell ref="W18:X18"/>
    <mergeCell ref="W19:X19"/>
    <mergeCell ref="U17:V17"/>
    <mergeCell ref="U18:V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2026-04-01T07:06:04Z</dcterms:created>
  <dcterms:modified xsi:type="dcterms:W3CDTF">2026-04-03T04:39:24Z</dcterms:modified>
  <cp:category/>
  <cp:contentStatus/>
</cp:coreProperties>
</file>