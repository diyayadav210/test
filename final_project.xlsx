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050" firstSheet="7" activeTab="4"/>
  </bookViews>
  <sheets>
    <sheet name="Dataset" sheetId="1" r:id="rId1"/>
    <sheet name="Date_Time" sheetId="7" r:id="rId2"/>
    <sheet name="Filter_Function" sheetId="6" r:id="rId3"/>
    <sheet name="Conditional_Formatting" sheetId="17" r:id="rId4"/>
    <sheet name="What_if_Analysis" sheetId="18" r:id="rId5"/>
    <sheet name="Linear_Regression" sheetId="5" r:id="rId6"/>
    <sheet name="High_Value_Customers" sheetId="14" r:id="rId7"/>
    <sheet name="Product_Analysis" sheetId="15" r:id="rId8"/>
    <sheet name="Regional_Analysis" sheetId="16" r:id="rId9"/>
    <sheet name="Abbrevation" sheetId="12" r:id="rId10"/>
    <sheet name="KPI's" sheetId="28" r:id="rId11"/>
    <sheet name="Pivot_and_Charts" sheetId="30" r:id="rId12"/>
    <sheet name="Dashboard" sheetId="23" r:id="rId13"/>
  </sheets>
  <definedNames>
    <definedName name="_xlnm._FilterDatabase" localSheetId="3" hidden="1">Conditional_Formatting!$B$3:$E$253</definedName>
    <definedName name="_xlnm._FilterDatabase" localSheetId="7" hidden="1">Product_Analysis!$B$3:$H$13</definedName>
    <definedName name="Data_Intelligence">Table1[]</definedName>
    <definedName name="Slicer_Category">#N/A</definedName>
    <definedName name="Slicer_Customer_Segment">#N/A</definedName>
    <definedName name="Slicer_Months__Date">#N/A</definedName>
    <definedName name="Slicer_Payment_Method">#N/A</definedName>
    <definedName name="Slicer_Region">#N/A</definedName>
    <definedName name="Slicer_Years__Date">#N/A</definedName>
  </definedNames>
  <calcPr calcId="162913" iterateDelta="1E-4"/>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8" l="1"/>
  <c r="B4" i="28" l="1"/>
  <c r="B6" i="28" s="1"/>
  <c r="B8" i="28"/>
  <c r="B7" i="28"/>
  <c r="B5" i="28"/>
  <c r="J4" i="15" a="1"/>
  <c r="J4" i="15" s="1"/>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6" i="12"/>
  <c r="B6" i="12" a="1"/>
  <c r="B6" i="12" s="1"/>
  <c r="B16" i="18"/>
  <c r="B8" i="18"/>
  <c r="B9" i="18" l="1"/>
  <c r="B4" i="17" a="1"/>
  <c r="B4" i="17" s="1"/>
  <c r="AG5" i="6"/>
  <c r="AF5" i="6"/>
  <c r="AE5" i="6"/>
  <c r="AD5" i="6"/>
  <c r="AC5" i="6"/>
  <c r="AB5" i="6"/>
  <c r="AA5" i="6"/>
  <c r="Z5" i="6"/>
  <c r="Y5" i="6"/>
  <c r="X5" i="6"/>
  <c r="W5" i="6"/>
  <c r="V5" i="6"/>
  <c r="U5" i="6"/>
  <c r="T5" i="6"/>
  <c r="T6" i="6" a="1"/>
  <c r="T6" i="6" s="1"/>
  <c r="D8" i="16"/>
  <c r="B3" i="16" a="1"/>
  <c r="B3" i="16" s="1"/>
  <c r="E4" i="16" a="1"/>
  <c r="E4" i="16" s="1"/>
  <c r="E5" i="16" a="1"/>
  <c r="E5" i="16" s="1"/>
  <c r="E6" i="16" a="1"/>
  <c r="E6" i="16" s="1"/>
  <c r="E7" i="16" a="1"/>
  <c r="E7" i="16" s="1"/>
  <c r="D4" i="16"/>
  <c r="D5" i="16"/>
  <c r="D6" i="16"/>
  <c r="D7" i="16"/>
  <c r="B4" i="15" a="1"/>
  <c r="B4" i="15" s="1"/>
  <c r="E4" i="15" s="1"/>
  <c r="C4" i="16"/>
  <c r="C5" i="16"/>
  <c r="C6" i="16"/>
  <c r="C7" i="16"/>
  <c r="D13" i="14"/>
  <c r="C3" i="14"/>
  <c r="D3" i="14" s="1"/>
  <c r="C4" i="14"/>
  <c r="D4" i="14" s="1"/>
  <c r="C5" i="14"/>
  <c r="D5" i="14" s="1"/>
  <c r="C6" i="14"/>
  <c r="D6" i="14" s="1"/>
  <c r="C7" i="14"/>
  <c r="D7" i="14" s="1"/>
  <c r="C8" i="14"/>
  <c r="D8" i="14" s="1"/>
  <c r="C9" i="14"/>
  <c r="D9" i="14" s="1"/>
  <c r="C10" i="14"/>
  <c r="D10" i="14" s="1"/>
  <c r="C11" i="14"/>
  <c r="D11" i="14" s="1"/>
  <c r="C12" i="14"/>
  <c r="D12" i="14" s="1"/>
  <c r="C13" i="14"/>
  <c r="C14" i="14"/>
  <c r="D14" i="14" s="1"/>
  <c r="C15" i="14"/>
  <c r="D15" i="14" s="1"/>
  <c r="C16" i="14"/>
  <c r="D16" i="14" s="1"/>
  <c r="C17" i="14"/>
  <c r="D17" i="14" s="1"/>
  <c r="C18" i="14"/>
  <c r="D18" i="14" s="1"/>
  <c r="C19" i="14"/>
  <c r="D19" i="14" s="1"/>
  <c r="C20" i="14"/>
  <c r="D20" i="14" s="1"/>
  <c r="C21" i="14"/>
  <c r="D21" i="14" s="1"/>
  <c r="C22" i="14"/>
  <c r="D22" i="14" s="1"/>
  <c r="C23" i="14"/>
  <c r="D23" i="14" s="1"/>
  <c r="C24" i="14"/>
  <c r="D24" i="14" s="1"/>
  <c r="C25" i="14"/>
  <c r="D25" i="14" s="1"/>
  <c r="C26" i="14"/>
  <c r="D26" i="14" s="1"/>
  <c r="C27" i="14"/>
  <c r="D27" i="14" s="1"/>
  <c r="C28" i="14"/>
  <c r="D28" i="14" s="1"/>
  <c r="C29" i="14"/>
  <c r="D29" i="14" s="1"/>
  <c r="C30" i="14"/>
  <c r="D30" i="14" s="1"/>
  <c r="C31" i="14"/>
  <c r="D31" i="14" s="1"/>
  <c r="C32" i="14"/>
  <c r="D32" i="14" s="1"/>
  <c r="C33" i="14"/>
  <c r="D33" i="14" s="1"/>
  <c r="C34" i="14"/>
  <c r="D34" i="14" s="1"/>
  <c r="C35" i="14"/>
  <c r="D35" i="14" s="1"/>
  <c r="C36" i="14"/>
  <c r="D36" i="14" s="1"/>
  <c r="C37" i="14"/>
  <c r="D37" i="14" s="1"/>
  <c r="C38" i="14"/>
  <c r="D38" i="14" s="1"/>
  <c r="C39" i="14"/>
  <c r="D39" i="14" s="1"/>
  <c r="C40" i="14"/>
  <c r="D40" i="14" s="1"/>
  <c r="C41" i="14"/>
  <c r="D41" i="14" s="1"/>
  <c r="C42" i="14"/>
  <c r="D42" i="14" s="1"/>
  <c r="C43" i="14"/>
  <c r="D43" i="14" s="1"/>
  <c r="C44" i="14"/>
  <c r="D44" i="14" s="1"/>
  <c r="C45" i="14"/>
  <c r="D45" i="14" s="1"/>
  <c r="C46" i="14"/>
  <c r="D46" i="14" s="1"/>
  <c r="C47" i="14"/>
  <c r="D47" i="14" s="1"/>
  <c r="C48" i="14"/>
  <c r="D48" i="14" s="1"/>
  <c r="C49" i="14"/>
  <c r="D49" i="14" s="1"/>
  <c r="C50" i="14"/>
  <c r="D50" i="14" s="1"/>
  <c r="C51" i="14"/>
  <c r="D51" i="14" s="1"/>
  <c r="C2" i="14"/>
  <c r="D2" i="14" s="1"/>
  <c r="B2" i="14" a="1"/>
  <c r="B2" i="14" s="1"/>
  <c r="B7" i="7"/>
  <c r="B8" i="7"/>
  <c r="B6" i="7"/>
  <c r="B5" i="7"/>
  <c r="G11" i="15" l="1"/>
  <c r="H8" i="15"/>
  <c r="E9" i="15"/>
  <c r="F13" i="15"/>
  <c r="G10" i="15"/>
  <c r="H7" i="15"/>
  <c r="E8" i="15"/>
  <c r="F12" i="15"/>
  <c r="G9" i="15"/>
  <c r="H6" i="15"/>
  <c r="E7" i="15"/>
  <c r="F11" i="15"/>
  <c r="G8" i="15"/>
  <c r="H5" i="15"/>
  <c r="E6" i="15"/>
  <c r="F10" i="15"/>
  <c r="G7" i="15"/>
  <c r="E5" i="15"/>
  <c r="F8" i="15"/>
  <c r="G5" i="15"/>
  <c r="F9" i="15"/>
  <c r="G6" i="15"/>
  <c r="F7" i="15"/>
  <c r="H13" i="15"/>
  <c r="F6" i="15"/>
  <c r="H12" i="15"/>
  <c r="E13" i="15"/>
  <c r="F5" i="15"/>
  <c r="H11" i="15"/>
  <c r="E12" i="15"/>
  <c r="G13" i="15"/>
  <c r="H10" i="15"/>
  <c r="E11" i="15"/>
  <c r="G12" i="15"/>
  <c r="H9" i="15"/>
  <c r="E10" i="15"/>
  <c r="C4" i="17" a="1"/>
  <c r="C4" i="17" s="1"/>
  <c r="D4" i="17" a="1"/>
  <c r="C3" i="16"/>
  <c r="C8" i="16" s="1"/>
  <c r="E3" i="16" a="1"/>
  <c r="E3" i="16" s="1"/>
  <c r="D3" i="16"/>
  <c r="F4" i="15"/>
  <c r="G4" i="15"/>
  <c r="H4" i="15"/>
  <c r="K6" i="6" a="1"/>
  <c r="K6" i="6" s="1"/>
  <c r="Q5" i="6"/>
  <c r="P5" i="6"/>
  <c r="O5" i="6"/>
  <c r="N5" i="6"/>
  <c r="M5" i="6"/>
  <c r="H5" i="6"/>
  <c r="G5" i="6"/>
  <c r="F5" i="6"/>
  <c r="E5" i="6"/>
  <c r="D5" i="6"/>
  <c r="B6" i="6" a="1"/>
  <c r="B6" i="6" s="1"/>
  <c r="E16" i="17" l="1"/>
  <c r="E28" i="17"/>
  <c r="E40" i="17"/>
  <c r="E52" i="17"/>
  <c r="E64" i="17"/>
  <c r="E76" i="17"/>
  <c r="E88" i="17"/>
  <c r="E100" i="17"/>
  <c r="E112" i="17"/>
  <c r="E124" i="17"/>
  <c r="E136" i="17"/>
  <c r="E148" i="17"/>
  <c r="E160" i="17"/>
  <c r="E172" i="17"/>
  <c r="E184" i="17"/>
  <c r="E196" i="17"/>
  <c r="E208" i="17"/>
  <c r="E220" i="17"/>
  <c r="E232" i="17"/>
  <c r="E244" i="17"/>
  <c r="E34" i="17"/>
  <c r="E106" i="17"/>
  <c r="E154" i="17"/>
  <c r="E214" i="17"/>
  <c r="E251" i="17"/>
  <c r="E49" i="17"/>
  <c r="E109" i="17"/>
  <c r="E181" i="17"/>
  <c r="E14" i="17"/>
  <c r="E134" i="17"/>
  <c r="E242" i="17"/>
  <c r="E51" i="17"/>
  <c r="E111" i="17"/>
  <c r="E171" i="17"/>
  <c r="E5" i="17"/>
  <c r="E17" i="17"/>
  <c r="E29" i="17"/>
  <c r="E41" i="17"/>
  <c r="E53" i="17"/>
  <c r="E65" i="17"/>
  <c r="E77" i="17"/>
  <c r="E89" i="17"/>
  <c r="E101" i="17"/>
  <c r="E113" i="17"/>
  <c r="E125" i="17"/>
  <c r="E137" i="17"/>
  <c r="E149" i="17"/>
  <c r="E161" i="17"/>
  <c r="E173" i="17"/>
  <c r="E185" i="17"/>
  <c r="E197" i="17"/>
  <c r="E209" i="17"/>
  <c r="E221" i="17"/>
  <c r="E233" i="17"/>
  <c r="E245" i="17"/>
  <c r="E241" i="17"/>
  <c r="E98" i="17"/>
  <c r="E182" i="17"/>
  <c r="E15" i="17"/>
  <c r="E135" i="17"/>
  <c r="E6" i="17"/>
  <c r="E18" i="17"/>
  <c r="E30" i="17"/>
  <c r="E42" i="17"/>
  <c r="E54" i="17"/>
  <c r="E66" i="17"/>
  <c r="E78" i="17"/>
  <c r="E90" i="17"/>
  <c r="E102" i="17"/>
  <c r="E114" i="17"/>
  <c r="E126" i="17"/>
  <c r="E138" i="17"/>
  <c r="E150" i="17"/>
  <c r="E162" i="17"/>
  <c r="E174" i="17"/>
  <c r="E186" i="17"/>
  <c r="E198" i="17"/>
  <c r="E210" i="17"/>
  <c r="E222" i="17"/>
  <c r="E234" i="17"/>
  <c r="E246" i="17"/>
  <c r="E22" i="17"/>
  <c r="E58" i="17"/>
  <c r="E82" i="17"/>
  <c r="E118" i="17"/>
  <c r="E142" i="17"/>
  <c r="E178" i="17"/>
  <c r="E202" i="17"/>
  <c r="E238" i="17"/>
  <c r="E239" i="17"/>
  <c r="E73" i="17"/>
  <c r="E121" i="17"/>
  <c r="E169" i="17"/>
  <c r="E253" i="17"/>
  <c r="E50" i="17"/>
  <c r="E122" i="17"/>
  <c r="E218" i="17"/>
  <c r="E75" i="17"/>
  <c r="E147" i="17"/>
  <c r="E207" i="17"/>
  <c r="E7" i="17"/>
  <c r="E19" i="17"/>
  <c r="E31" i="17"/>
  <c r="E43" i="17"/>
  <c r="E55" i="17"/>
  <c r="E67" i="17"/>
  <c r="E79" i="17"/>
  <c r="E91" i="17"/>
  <c r="E103" i="17"/>
  <c r="E115" i="17"/>
  <c r="E127" i="17"/>
  <c r="E139" i="17"/>
  <c r="E151" i="17"/>
  <c r="E163" i="17"/>
  <c r="E175" i="17"/>
  <c r="E187" i="17"/>
  <c r="E199" i="17"/>
  <c r="E211" i="17"/>
  <c r="E223" i="17"/>
  <c r="E235" i="17"/>
  <c r="E247" i="17"/>
  <c r="E250" i="17"/>
  <c r="E25" i="17"/>
  <c r="E157" i="17"/>
  <c r="E74" i="17"/>
  <c r="E146" i="17"/>
  <c r="E230" i="17"/>
  <c r="E27" i="17"/>
  <c r="E183" i="17"/>
  <c r="E8" i="17"/>
  <c r="E20" i="17"/>
  <c r="E32" i="17"/>
  <c r="E44" i="17"/>
  <c r="E56" i="17"/>
  <c r="E68" i="17"/>
  <c r="E80" i="17"/>
  <c r="E92" i="17"/>
  <c r="E104" i="17"/>
  <c r="E116" i="17"/>
  <c r="E128" i="17"/>
  <c r="E140" i="17"/>
  <c r="E152" i="17"/>
  <c r="E164" i="17"/>
  <c r="E176" i="17"/>
  <c r="E188" i="17"/>
  <c r="E200" i="17"/>
  <c r="E212" i="17"/>
  <c r="E224" i="17"/>
  <c r="E236" i="17"/>
  <c r="E248" i="17"/>
  <c r="E61" i="17"/>
  <c r="E217" i="17"/>
  <c r="E86" i="17"/>
  <c r="E194" i="17"/>
  <c r="E99" i="17"/>
  <c r="E231" i="17"/>
  <c r="E9" i="17"/>
  <c r="E21" i="17"/>
  <c r="E33" i="17"/>
  <c r="E45" i="17"/>
  <c r="E57" i="17"/>
  <c r="E69" i="17"/>
  <c r="E81" i="17"/>
  <c r="E93" i="17"/>
  <c r="E105" i="17"/>
  <c r="E117" i="17"/>
  <c r="E129" i="17"/>
  <c r="E141" i="17"/>
  <c r="E153" i="17"/>
  <c r="E165" i="17"/>
  <c r="E177" i="17"/>
  <c r="E189" i="17"/>
  <c r="E201" i="17"/>
  <c r="E213" i="17"/>
  <c r="E225" i="17"/>
  <c r="E237" i="17"/>
  <c r="E249" i="17"/>
  <c r="E10" i="17"/>
  <c r="E46" i="17"/>
  <c r="E70" i="17"/>
  <c r="E94" i="17"/>
  <c r="E130" i="17"/>
  <c r="E166" i="17"/>
  <c r="E190" i="17"/>
  <c r="E226" i="17"/>
  <c r="E37" i="17"/>
  <c r="E145" i="17"/>
  <c r="E229" i="17"/>
  <c r="E26" i="17"/>
  <c r="E110" i="17"/>
  <c r="E206" i="17"/>
  <c r="E39" i="17"/>
  <c r="E159" i="17"/>
  <c r="E243" i="17"/>
  <c r="E11" i="17"/>
  <c r="E23" i="17"/>
  <c r="E35" i="17"/>
  <c r="E47" i="17"/>
  <c r="E59" i="17"/>
  <c r="E71" i="17"/>
  <c r="E83" i="17"/>
  <c r="E95" i="17"/>
  <c r="E107" i="17"/>
  <c r="E119" i="17"/>
  <c r="E131" i="17"/>
  <c r="E143" i="17"/>
  <c r="E155" i="17"/>
  <c r="E167" i="17"/>
  <c r="E179" i="17"/>
  <c r="E191" i="17"/>
  <c r="E203" i="17"/>
  <c r="E215" i="17"/>
  <c r="E227" i="17"/>
  <c r="E193" i="17"/>
  <c r="E62" i="17"/>
  <c r="E170" i="17"/>
  <c r="E63" i="17"/>
  <c r="E123" i="17"/>
  <c r="E195" i="17"/>
  <c r="E12" i="17"/>
  <c r="E24" i="17"/>
  <c r="E36" i="17"/>
  <c r="E48" i="17"/>
  <c r="E60" i="17"/>
  <c r="E72" i="17"/>
  <c r="E84" i="17"/>
  <c r="E96" i="17"/>
  <c r="E108" i="17"/>
  <c r="E120" i="17"/>
  <c r="E132" i="17"/>
  <c r="E144" i="17"/>
  <c r="E156" i="17"/>
  <c r="E168" i="17"/>
  <c r="E180" i="17"/>
  <c r="E192" i="17"/>
  <c r="E204" i="17"/>
  <c r="E216" i="17"/>
  <c r="E228" i="17"/>
  <c r="E240" i="17"/>
  <c r="E252" i="17"/>
  <c r="E13" i="17"/>
  <c r="E85" i="17"/>
  <c r="E97" i="17"/>
  <c r="E133" i="17"/>
  <c r="E205" i="17"/>
  <c r="E38" i="17"/>
  <c r="E158" i="17"/>
  <c r="E87" i="17"/>
  <c r="E219" i="17"/>
  <c r="D4" i="17"/>
  <c r="E4" i="17" s="1"/>
  <c r="C6" i="5"/>
  <c r="C5" i="5"/>
  <c r="C4" i="5"/>
  <c r="C3" i="5"/>
  <c r="G8" i="5" l="1"/>
  <c r="G6" i="5"/>
  <c r="G5" i="5"/>
  <c r="G4" i="5"/>
  <c r="G7" i="5"/>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7" i="16"/>
  <c r="B6" i="16"/>
  <c r="B5" i="16"/>
  <c r="B4" i="16"/>
  <c r="D13" i="15"/>
  <c r="C13" i="15"/>
  <c r="B13" i="15"/>
  <c r="D12" i="15"/>
  <c r="C12" i="15"/>
  <c r="B12" i="15"/>
  <c r="D11" i="15"/>
  <c r="C11" i="15"/>
  <c r="B11" i="15"/>
  <c r="D10" i="15"/>
  <c r="C10" i="15"/>
  <c r="B10" i="15"/>
  <c r="D9" i="15"/>
  <c r="C9" i="15"/>
  <c r="B9" i="15"/>
  <c r="D8" i="15"/>
  <c r="C8" i="15"/>
  <c r="B8" i="15"/>
  <c r="D7" i="15"/>
  <c r="C7" i="15"/>
  <c r="B7" i="15"/>
  <c r="D6" i="15"/>
  <c r="C6" i="15"/>
  <c r="B6" i="15"/>
  <c r="D5" i="15"/>
  <c r="C5" i="15"/>
  <c r="B5" i="15"/>
  <c r="D4" i="15"/>
  <c r="C4" i="15"/>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C253" i="17"/>
  <c r="C252" i="17"/>
  <c r="C251" i="17"/>
  <c r="C250" i="17"/>
  <c r="C249" i="17"/>
  <c r="C248" i="17"/>
  <c r="C247" i="17"/>
  <c r="C246" i="17"/>
  <c r="C245" i="17"/>
  <c r="C244" i="17"/>
  <c r="C243" i="17"/>
  <c r="C242" i="17"/>
  <c r="C241" i="17"/>
  <c r="C240" i="17"/>
  <c r="C239" i="17"/>
  <c r="C238" i="17"/>
  <c r="C237" i="17"/>
  <c r="C236" i="17"/>
  <c r="C235" i="17"/>
  <c r="C234" i="17"/>
  <c r="C233" i="17"/>
  <c r="C232" i="17"/>
  <c r="C231" i="17"/>
  <c r="C230" i="17"/>
  <c r="C229" i="17"/>
  <c r="C228" i="17"/>
  <c r="C227" i="17"/>
  <c r="C226" i="17"/>
  <c r="C225" i="17"/>
  <c r="C224" i="17"/>
  <c r="C223" i="17"/>
  <c r="C222" i="17"/>
  <c r="C221" i="17"/>
  <c r="C220" i="17"/>
  <c r="C219" i="17"/>
  <c r="C218" i="17"/>
  <c r="C217" i="17"/>
  <c r="C216" i="17"/>
  <c r="C215" i="17"/>
  <c r="C214" i="17"/>
  <c r="C213" i="17"/>
  <c r="C212" i="17"/>
  <c r="C211" i="17"/>
  <c r="C210" i="17"/>
  <c r="C209" i="17"/>
  <c r="C208" i="17"/>
  <c r="C207" i="17"/>
  <c r="C206" i="17"/>
  <c r="C205" i="17"/>
  <c r="C204" i="17"/>
  <c r="C203" i="17"/>
  <c r="C202" i="17"/>
  <c r="C201" i="17"/>
  <c r="C200" i="17"/>
  <c r="C199" i="17"/>
  <c r="C198" i="17"/>
  <c r="C197" i="17"/>
  <c r="C196" i="17"/>
  <c r="C195" i="17"/>
  <c r="C194" i="17"/>
  <c r="C193" i="17"/>
  <c r="C192" i="17"/>
  <c r="C191" i="17"/>
  <c r="C190" i="17"/>
  <c r="C189" i="17"/>
  <c r="C188" i="17"/>
  <c r="C187" i="17"/>
  <c r="C186" i="17"/>
  <c r="C185" i="17"/>
  <c r="C184" i="17"/>
  <c r="C183" i="17"/>
  <c r="C182" i="17"/>
  <c r="C181" i="17"/>
  <c r="C180" i="17"/>
  <c r="C179" i="17"/>
  <c r="C178" i="17"/>
  <c r="C177" i="17"/>
  <c r="C176" i="17"/>
  <c r="C175" i="17"/>
  <c r="C174" i="17"/>
  <c r="C173" i="17"/>
  <c r="C172" i="17"/>
  <c r="C171" i="17"/>
  <c r="C170" i="17"/>
  <c r="C169" i="17"/>
  <c r="C168" i="17"/>
  <c r="C167" i="17"/>
  <c r="C166" i="17"/>
  <c r="C165" i="17"/>
  <c r="C164" i="17"/>
  <c r="C163" i="17"/>
  <c r="C162" i="17"/>
  <c r="C161" i="17"/>
  <c r="C160" i="17"/>
  <c r="C159" i="17"/>
  <c r="C158" i="17"/>
  <c r="C157" i="17"/>
  <c r="C156" i="17"/>
  <c r="C155" i="17"/>
  <c r="C154" i="17"/>
  <c r="C153" i="17"/>
  <c r="C152" i="17"/>
  <c r="C151" i="17"/>
  <c r="C150" i="17"/>
  <c r="C149" i="17"/>
  <c r="C148" i="17"/>
  <c r="C147" i="17"/>
  <c r="C146" i="17"/>
  <c r="C145" i="17"/>
  <c r="C144" i="17"/>
  <c r="C143" i="17"/>
  <c r="C142" i="17"/>
  <c r="C141" i="17"/>
  <c r="C140" i="17"/>
  <c r="C139" i="17"/>
  <c r="C138" i="17"/>
  <c r="C137" i="17"/>
  <c r="C136" i="17"/>
  <c r="C135" i="17"/>
  <c r="C134" i="17"/>
  <c r="C133" i="17"/>
  <c r="C132" i="17"/>
  <c r="C131" i="17"/>
  <c r="C130" i="17"/>
  <c r="C129" i="17"/>
  <c r="C128" i="17"/>
  <c r="C127" i="17"/>
  <c r="C126" i="17"/>
  <c r="C125" i="17"/>
  <c r="C124" i="17"/>
  <c r="C123" i="17"/>
  <c r="C122" i="17"/>
  <c r="C121" i="17"/>
  <c r="C120" i="17"/>
  <c r="C119" i="17"/>
  <c r="C118" i="17"/>
  <c r="C117" i="17"/>
  <c r="C116" i="17"/>
  <c r="C115" i="17"/>
  <c r="C114" i="17"/>
  <c r="C113" i="17"/>
  <c r="C112" i="17"/>
  <c r="C111" i="17"/>
  <c r="C110" i="17"/>
  <c r="C109" i="17"/>
  <c r="C108" i="17"/>
  <c r="C107" i="17"/>
  <c r="C106" i="17"/>
  <c r="C105" i="17"/>
  <c r="C104" i="17"/>
  <c r="C103" i="17"/>
  <c r="C102" i="17"/>
  <c r="C101" i="17"/>
  <c r="C100" i="17"/>
  <c r="C99" i="17"/>
  <c r="C98" i="17"/>
  <c r="C97" i="17"/>
  <c r="C96" i="17"/>
  <c r="C95" i="17"/>
  <c r="C94" i="17"/>
  <c r="C93" i="17"/>
  <c r="C92" i="17"/>
  <c r="C91" i="17"/>
  <c r="C90" i="17"/>
  <c r="C89" i="17"/>
  <c r="C88" i="17"/>
  <c r="C87" i="17"/>
  <c r="C86" i="17"/>
  <c r="C85" i="17"/>
  <c r="C84" i="17"/>
  <c r="C83" i="17"/>
  <c r="C82" i="17"/>
  <c r="C81" i="17"/>
  <c r="C80" i="17"/>
  <c r="C79" i="17"/>
  <c r="C78" i="17"/>
  <c r="C77" i="17"/>
  <c r="C76" i="17"/>
  <c r="C75" i="17"/>
  <c r="C74" i="17"/>
  <c r="C73" i="17"/>
  <c r="C72" i="17"/>
  <c r="C71" i="17"/>
  <c r="C70" i="17"/>
  <c r="C69" i="17"/>
  <c r="C68" i="17"/>
  <c r="C67" i="17"/>
  <c r="C66" i="17"/>
  <c r="C65" i="17"/>
  <c r="C64" i="17"/>
  <c r="C63" i="17"/>
  <c r="C62" i="17"/>
  <c r="C61" i="17"/>
  <c r="C60" i="17"/>
  <c r="C59" i="17"/>
  <c r="C58" i="17"/>
  <c r="C57" i="17"/>
  <c r="C56" i="17"/>
  <c r="C55" i="17"/>
  <c r="C54" i="17"/>
  <c r="C53" i="17"/>
  <c r="C52" i="17"/>
  <c r="C51" i="17"/>
  <c r="C50" i="17"/>
  <c r="C49" i="17"/>
  <c r="C48" i="17"/>
  <c r="C47" i="17"/>
  <c r="C46" i="17"/>
  <c r="C45" i="17"/>
  <c r="C44" i="17"/>
  <c r="C43" i="17"/>
  <c r="C42" i="17"/>
  <c r="C41" i="17"/>
  <c r="C40" i="17"/>
  <c r="C39" i="17"/>
  <c r="C38" i="17"/>
  <c r="C37" i="17"/>
  <c r="C36" i="17"/>
  <c r="C35" i="17"/>
  <c r="C34" i="17"/>
  <c r="C33" i="17"/>
  <c r="C32" i="17"/>
  <c r="C31" i="17"/>
  <c r="C30" i="17"/>
  <c r="C29" i="17"/>
  <c r="C28" i="17"/>
  <c r="C27" i="17"/>
  <c r="C26" i="17"/>
  <c r="C25" i="17"/>
  <c r="C24" i="17"/>
  <c r="C23" i="17"/>
  <c r="C22" i="17"/>
  <c r="C21" i="17"/>
  <c r="C20" i="17"/>
  <c r="C19" i="17"/>
  <c r="C18" i="17"/>
  <c r="C17" i="17"/>
  <c r="C16" i="17"/>
  <c r="C15" i="17"/>
  <c r="C14" i="17"/>
  <c r="C13" i="17"/>
  <c r="C12" i="17"/>
  <c r="C11" i="17"/>
  <c r="C10" i="17"/>
  <c r="C9" i="17"/>
  <c r="C8" i="17"/>
  <c r="C7" i="17"/>
  <c r="C6" i="17"/>
  <c r="C5"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AG100" i="6"/>
  <c r="AF100" i="6"/>
  <c r="AE100" i="6"/>
  <c r="AD100" i="6"/>
  <c r="AC100" i="6"/>
  <c r="AB100" i="6"/>
  <c r="AA100" i="6"/>
  <c r="Z100" i="6"/>
  <c r="Y100" i="6"/>
  <c r="X100" i="6"/>
  <c r="W100" i="6"/>
  <c r="V100" i="6"/>
  <c r="U100" i="6"/>
  <c r="T100" i="6"/>
  <c r="AG99" i="6"/>
  <c r="AF99" i="6"/>
  <c r="AE99" i="6"/>
  <c r="AD99" i="6"/>
  <c r="AC99" i="6"/>
  <c r="AB99" i="6"/>
  <c r="AA99" i="6"/>
  <c r="Z99" i="6"/>
  <c r="Y99" i="6"/>
  <c r="X99" i="6"/>
  <c r="W99" i="6"/>
  <c r="V99" i="6"/>
  <c r="U99" i="6"/>
  <c r="T99" i="6"/>
  <c r="AG98" i="6"/>
  <c r="AF98" i="6"/>
  <c r="AE98" i="6"/>
  <c r="AD98" i="6"/>
  <c r="AC98" i="6"/>
  <c r="AB98" i="6"/>
  <c r="AA98" i="6"/>
  <c r="Z98" i="6"/>
  <c r="Y98" i="6"/>
  <c r="X98" i="6"/>
  <c r="W98" i="6"/>
  <c r="V98" i="6"/>
  <c r="U98" i="6"/>
  <c r="T98" i="6"/>
  <c r="AG97" i="6"/>
  <c r="AF97" i="6"/>
  <c r="AE97" i="6"/>
  <c r="AD97" i="6"/>
  <c r="AC97" i="6"/>
  <c r="AB97" i="6"/>
  <c r="AA97" i="6"/>
  <c r="Z97" i="6"/>
  <c r="Y97" i="6"/>
  <c r="X97" i="6"/>
  <c r="W97" i="6"/>
  <c r="V97" i="6"/>
  <c r="U97" i="6"/>
  <c r="T97" i="6"/>
  <c r="AG96" i="6"/>
  <c r="AF96" i="6"/>
  <c r="AE96" i="6"/>
  <c r="AD96" i="6"/>
  <c r="AC96" i="6"/>
  <c r="AB96" i="6"/>
  <c r="AA96" i="6"/>
  <c r="Z96" i="6"/>
  <c r="Y96" i="6"/>
  <c r="X96" i="6"/>
  <c r="W96" i="6"/>
  <c r="V96" i="6"/>
  <c r="U96" i="6"/>
  <c r="T96" i="6"/>
  <c r="AG95" i="6"/>
  <c r="AF95" i="6"/>
  <c r="AE95" i="6"/>
  <c r="AD95" i="6"/>
  <c r="AC95" i="6"/>
  <c r="AB95" i="6"/>
  <c r="AA95" i="6"/>
  <c r="Z95" i="6"/>
  <c r="Y95" i="6"/>
  <c r="X95" i="6"/>
  <c r="W95" i="6"/>
  <c r="V95" i="6"/>
  <c r="U95" i="6"/>
  <c r="T95" i="6"/>
  <c r="AG94" i="6"/>
  <c r="AF94" i="6"/>
  <c r="AE94" i="6"/>
  <c r="AD94" i="6"/>
  <c r="AC94" i="6"/>
  <c r="AB94" i="6"/>
  <c r="AA94" i="6"/>
  <c r="Z94" i="6"/>
  <c r="Y94" i="6"/>
  <c r="X94" i="6"/>
  <c r="W94" i="6"/>
  <c r="V94" i="6"/>
  <c r="U94" i="6"/>
  <c r="T94" i="6"/>
  <c r="AG93" i="6"/>
  <c r="AF93" i="6"/>
  <c r="AE93" i="6"/>
  <c r="AD93" i="6"/>
  <c r="AC93" i="6"/>
  <c r="AB93" i="6"/>
  <c r="AA93" i="6"/>
  <c r="Z93" i="6"/>
  <c r="Y93" i="6"/>
  <c r="X93" i="6"/>
  <c r="W93" i="6"/>
  <c r="V93" i="6"/>
  <c r="U93" i="6"/>
  <c r="T93" i="6"/>
  <c r="AG92" i="6"/>
  <c r="AF92" i="6"/>
  <c r="AE92" i="6"/>
  <c r="AD92" i="6"/>
  <c r="AC92" i="6"/>
  <c r="AB92" i="6"/>
  <c r="AA92" i="6"/>
  <c r="Z92" i="6"/>
  <c r="Y92" i="6"/>
  <c r="X92" i="6"/>
  <c r="W92" i="6"/>
  <c r="V92" i="6"/>
  <c r="U92" i="6"/>
  <c r="T92" i="6"/>
  <c r="AG91" i="6"/>
  <c r="AF91" i="6"/>
  <c r="AE91" i="6"/>
  <c r="AD91" i="6"/>
  <c r="AC91" i="6"/>
  <c r="AB91" i="6"/>
  <c r="AA91" i="6"/>
  <c r="Z91" i="6"/>
  <c r="Y91" i="6"/>
  <c r="X91" i="6"/>
  <c r="W91" i="6"/>
  <c r="V91" i="6"/>
  <c r="U91" i="6"/>
  <c r="T91" i="6"/>
  <c r="AG90" i="6"/>
  <c r="AF90" i="6"/>
  <c r="AE90" i="6"/>
  <c r="AD90" i="6"/>
  <c r="AC90" i="6"/>
  <c r="AB90" i="6"/>
  <c r="AA90" i="6"/>
  <c r="Z90" i="6"/>
  <c r="Y90" i="6"/>
  <c r="X90" i="6"/>
  <c r="W90" i="6"/>
  <c r="V90" i="6"/>
  <c r="U90" i="6"/>
  <c r="T90" i="6"/>
  <c r="AG89" i="6"/>
  <c r="AF89" i="6"/>
  <c r="AE89" i="6"/>
  <c r="AD89" i="6"/>
  <c r="AC89" i="6"/>
  <c r="AB89" i="6"/>
  <c r="AA89" i="6"/>
  <c r="Z89" i="6"/>
  <c r="Y89" i="6"/>
  <c r="X89" i="6"/>
  <c r="W89" i="6"/>
  <c r="V89" i="6"/>
  <c r="U89" i="6"/>
  <c r="T89" i="6"/>
  <c r="AG88" i="6"/>
  <c r="AF88" i="6"/>
  <c r="AE88" i="6"/>
  <c r="AD88" i="6"/>
  <c r="AC88" i="6"/>
  <c r="AB88" i="6"/>
  <c r="AA88" i="6"/>
  <c r="Z88" i="6"/>
  <c r="Y88" i="6"/>
  <c r="X88" i="6"/>
  <c r="W88" i="6"/>
  <c r="V88" i="6"/>
  <c r="U88" i="6"/>
  <c r="T88" i="6"/>
  <c r="AG87" i="6"/>
  <c r="AF87" i="6"/>
  <c r="AE87" i="6"/>
  <c r="AD87" i="6"/>
  <c r="AC87" i="6"/>
  <c r="AB87" i="6"/>
  <c r="AA87" i="6"/>
  <c r="Z87" i="6"/>
  <c r="Y87" i="6"/>
  <c r="X87" i="6"/>
  <c r="W87" i="6"/>
  <c r="V87" i="6"/>
  <c r="U87" i="6"/>
  <c r="T87" i="6"/>
  <c r="AG86" i="6"/>
  <c r="AF86" i="6"/>
  <c r="AE86" i="6"/>
  <c r="AD86" i="6"/>
  <c r="AC86" i="6"/>
  <c r="AB86" i="6"/>
  <c r="AA86" i="6"/>
  <c r="Z86" i="6"/>
  <c r="Y86" i="6"/>
  <c r="X86" i="6"/>
  <c r="W86" i="6"/>
  <c r="V86" i="6"/>
  <c r="U86" i="6"/>
  <c r="T86" i="6"/>
  <c r="AG85" i="6"/>
  <c r="AF85" i="6"/>
  <c r="AE85" i="6"/>
  <c r="AD85" i="6"/>
  <c r="AC85" i="6"/>
  <c r="AB85" i="6"/>
  <c r="AA85" i="6"/>
  <c r="Z85" i="6"/>
  <c r="Y85" i="6"/>
  <c r="X85" i="6"/>
  <c r="W85" i="6"/>
  <c r="V85" i="6"/>
  <c r="U85" i="6"/>
  <c r="T85" i="6"/>
  <c r="AG84" i="6"/>
  <c r="AF84" i="6"/>
  <c r="AE84" i="6"/>
  <c r="AD84" i="6"/>
  <c r="AC84" i="6"/>
  <c r="AB84" i="6"/>
  <c r="AA84" i="6"/>
  <c r="Z84" i="6"/>
  <c r="Y84" i="6"/>
  <c r="X84" i="6"/>
  <c r="W84" i="6"/>
  <c r="V84" i="6"/>
  <c r="U84" i="6"/>
  <c r="T84" i="6"/>
  <c r="AG83" i="6"/>
  <c r="AF83" i="6"/>
  <c r="AE83" i="6"/>
  <c r="AD83" i="6"/>
  <c r="AC83" i="6"/>
  <c r="AB83" i="6"/>
  <c r="AA83" i="6"/>
  <c r="Z83" i="6"/>
  <c r="Y83" i="6"/>
  <c r="X83" i="6"/>
  <c r="W83" i="6"/>
  <c r="V83" i="6"/>
  <c r="U83" i="6"/>
  <c r="T83" i="6"/>
  <c r="AG82" i="6"/>
  <c r="AF82" i="6"/>
  <c r="AE82" i="6"/>
  <c r="AD82" i="6"/>
  <c r="AC82" i="6"/>
  <c r="AB82" i="6"/>
  <c r="AA82" i="6"/>
  <c r="Z82" i="6"/>
  <c r="Y82" i="6"/>
  <c r="X82" i="6"/>
  <c r="W82" i="6"/>
  <c r="V82" i="6"/>
  <c r="U82" i="6"/>
  <c r="T82" i="6"/>
  <c r="AG81" i="6"/>
  <c r="AF81" i="6"/>
  <c r="AE81" i="6"/>
  <c r="AD81" i="6"/>
  <c r="AC81" i="6"/>
  <c r="AB81" i="6"/>
  <c r="AA81" i="6"/>
  <c r="Z81" i="6"/>
  <c r="Y81" i="6"/>
  <c r="X81" i="6"/>
  <c r="W81" i="6"/>
  <c r="V81" i="6"/>
  <c r="U81" i="6"/>
  <c r="T81" i="6"/>
  <c r="AG80" i="6"/>
  <c r="AF80" i="6"/>
  <c r="AE80" i="6"/>
  <c r="AD80" i="6"/>
  <c r="AC80" i="6"/>
  <c r="AB80" i="6"/>
  <c r="AA80" i="6"/>
  <c r="Z80" i="6"/>
  <c r="Y80" i="6"/>
  <c r="X80" i="6"/>
  <c r="W80" i="6"/>
  <c r="V80" i="6"/>
  <c r="U80" i="6"/>
  <c r="T80" i="6"/>
  <c r="AG79" i="6"/>
  <c r="AF79" i="6"/>
  <c r="AE79" i="6"/>
  <c r="AD79" i="6"/>
  <c r="AC79" i="6"/>
  <c r="AB79" i="6"/>
  <c r="AA79" i="6"/>
  <c r="Z79" i="6"/>
  <c r="Y79" i="6"/>
  <c r="X79" i="6"/>
  <c r="W79" i="6"/>
  <c r="V79" i="6"/>
  <c r="U79" i="6"/>
  <c r="T79" i="6"/>
  <c r="AG78" i="6"/>
  <c r="AF78" i="6"/>
  <c r="AE78" i="6"/>
  <c r="AD78" i="6"/>
  <c r="AC78" i="6"/>
  <c r="AB78" i="6"/>
  <c r="AA78" i="6"/>
  <c r="Z78" i="6"/>
  <c r="Y78" i="6"/>
  <c r="X78" i="6"/>
  <c r="W78" i="6"/>
  <c r="V78" i="6"/>
  <c r="U78" i="6"/>
  <c r="T78" i="6"/>
  <c r="AG77" i="6"/>
  <c r="AF77" i="6"/>
  <c r="AE77" i="6"/>
  <c r="AD77" i="6"/>
  <c r="AC77" i="6"/>
  <c r="AB77" i="6"/>
  <c r="AA77" i="6"/>
  <c r="Z77" i="6"/>
  <c r="Y77" i="6"/>
  <c r="X77" i="6"/>
  <c r="W77" i="6"/>
  <c r="V77" i="6"/>
  <c r="U77" i="6"/>
  <c r="T77" i="6"/>
  <c r="AG76" i="6"/>
  <c r="AF76" i="6"/>
  <c r="AE76" i="6"/>
  <c r="AD76" i="6"/>
  <c r="AC76" i="6"/>
  <c r="AB76" i="6"/>
  <c r="AA76" i="6"/>
  <c r="Z76" i="6"/>
  <c r="Y76" i="6"/>
  <c r="X76" i="6"/>
  <c r="W76" i="6"/>
  <c r="V76" i="6"/>
  <c r="U76" i="6"/>
  <c r="T76" i="6"/>
  <c r="AG75" i="6"/>
  <c r="AF75" i="6"/>
  <c r="AE75" i="6"/>
  <c r="AD75" i="6"/>
  <c r="AC75" i="6"/>
  <c r="AB75" i="6"/>
  <c r="AA75" i="6"/>
  <c r="Z75" i="6"/>
  <c r="Y75" i="6"/>
  <c r="X75" i="6"/>
  <c r="W75" i="6"/>
  <c r="V75" i="6"/>
  <c r="U75" i="6"/>
  <c r="T75" i="6"/>
  <c r="AG74" i="6"/>
  <c r="AF74" i="6"/>
  <c r="AE74" i="6"/>
  <c r="AD74" i="6"/>
  <c r="AC74" i="6"/>
  <c r="AB74" i="6"/>
  <c r="AA74" i="6"/>
  <c r="Z74" i="6"/>
  <c r="Y74" i="6"/>
  <c r="X74" i="6"/>
  <c r="W74" i="6"/>
  <c r="V74" i="6"/>
  <c r="U74" i="6"/>
  <c r="T74" i="6"/>
  <c r="AG73" i="6"/>
  <c r="AF73" i="6"/>
  <c r="AE73" i="6"/>
  <c r="AD73" i="6"/>
  <c r="AC73" i="6"/>
  <c r="AB73" i="6"/>
  <c r="AA73" i="6"/>
  <c r="Z73" i="6"/>
  <c r="Y73" i="6"/>
  <c r="X73" i="6"/>
  <c r="W73" i="6"/>
  <c r="V73" i="6"/>
  <c r="U73" i="6"/>
  <c r="T73" i="6"/>
  <c r="AG72" i="6"/>
  <c r="AF72" i="6"/>
  <c r="AE72" i="6"/>
  <c r="AD72" i="6"/>
  <c r="AC72" i="6"/>
  <c r="AB72" i="6"/>
  <c r="AA72" i="6"/>
  <c r="Z72" i="6"/>
  <c r="Y72" i="6"/>
  <c r="X72" i="6"/>
  <c r="W72" i="6"/>
  <c r="V72" i="6"/>
  <c r="U72" i="6"/>
  <c r="T72" i="6"/>
  <c r="AG71" i="6"/>
  <c r="AF71" i="6"/>
  <c r="AE71" i="6"/>
  <c r="AD71" i="6"/>
  <c r="AC71" i="6"/>
  <c r="AB71" i="6"/>
  <c r="AA71" i="6"/>
  <c r="Z71" i="6"/>
  <c r="Y71" i="6"/>
  <c r="X71" i="6"/>
  <c r="W71" i="6"/>
  <c r="V71" i="6"/>
  <c r="U71" i="6"/>
  <c r="T71" i="6"/>
  <c r="AG70" i="6"/>
  <c r="AF70" i="6"/>
  <c r="AE70" i="6"/>
  <c r="AD70" i="6"/>
  <c r="AC70" i="6"/>
  <c r="AB70" i="6"/>
  <c r="AA70" i="6"/>
  <c r="Z70" i="6"/>
  <c r="Y70" i="6"/>
  <c r="X70" i="6"/>
  <c r="W70" i="6"/>
  <c r="V70" i="6"/>
  <c r="U70" i="6"/>
  <c r="T70" i="6"/>
  <c r="AG69" i="6"/>
  <c r="AF69" i="6"/>
  <c r="AE69" i="6"/>
  <c r="AD69" i="6"/>
  <c r="AC69" i="6"/>
  <c r="AB69" i="6"/>
  <c r="AA69" i="6"/>
  <c r="Z69" i="6"/>
  <c r="Y69" i="6"/>
  <c r="X69" i="6"/>
  <c r="W69" i="6"/>
  <c r="V69" i="6"/>
  <c r="U69" i="6"/>
  <c r="T69" i="6"/>
  <c r="AG68" i="6"/>
  <c r="AF68" i="6"/>
  <c r="AE68" i="6"/>
  <c r="AD68" i="6"/>
  <c r="AC68" i="6"/>
  <c r="AB68" i="6"/>
  <c r="AA68" i="6"/>
  <c r="Z68" i="6"/>
  <c r="Y68" i="6"/>
  <c r="X68" i="6"/>
  <c r="W68" i="6"/>
  <c r="V68" i="6"/>
  <c r="U68" i="6"/>
  <c r="T68" i="6"/>
  <c r="AG67" i="6"/>
  <c r="AF67" i="6"/>
  <c r="AE67" i="6"/>
  <c r="AD67" i="6"/>
  <c r="AC67" i="6"/>
  <c r="AB67" i="6"/>
  <c r="AA67" i="6"/>
  <c r="Z67" i="6"/>
  <c r="Y67" i="6"/>
  <c r="X67" i="6"/>
  <c r="W67" i="6"/>
  <c r="V67" i="6"/>
  <c r="U67" i="6"/>
  <c r="T67" i="6"/>
  <c r="AG66" i="6"/>
  <c r="AF66" i="6"/>
  <c r="AE66" i="6"/>
  <c r="AD66" i="6"/>
  <c r="AC66" i="6"/>
  <c r="AB66" i="6"/>
  <c r="AA66" i="6"/>
  <c r="Z66" i="6"/>
  <c r="Y66" i="6"/>
  <c r="X66" i="6"/>
  <c r="W66" i="6"/>
  <c r="V66" i="6"/>
  <c r="U66" i="6"/>
  <c r="T66" i="6"/>
  <c r="AG65" i="6"/>
  <c r="AF65" i="6"/>
  <c r="AE65" i="6"/>
  <c r="AD65" i="6"/>
  <c r="AC65" i="6"/>
  <c r="AB65" i="6"/>
  <c r="AA65" i="6"/>
  <c r="Z65" i="6"/>
  <c r="Y65" i="6"/>
  <c r="X65" i="6"/>
  <c r="W65" i="6"/>
  <c r="V65" i="6"/>
  <c r="U65" i="6"/>
  <c r="T65" i="6"/>
  <c r="AG64" i="6"/>
  <c r="AF64" i="6"/>
  <c r="AE64" i="6"/>
  <c r="AD64" i="6"/>
  <c r="AC64" i="6"/>
  <c r="AB64" i="6"/>
  <c r="AA64" i="6"/>
  <c r="Z64" i="6"/>
  <c r="Y64" i="6"/>
  <c r="X64" i="6"/>
  <c r="W64" i="6"/>
  <c r="V64" i="6"/>
  <c r="U64" i="6"/>
  <c r="T64" i="6"/>
  <c r="AG63" i="6"/>
  <c r="AF63" i="6"/>
  <c r="AE63" i="6"/>
  <c r="AD63" i="6"/>
  <c r="AC63" i="6"/>
  <c r="AB63" i="6"/>
  <c r="AA63" i="6"/>
  <c r="Z63" i="6"/>
  <c r="Y63" i="6"/>
  <c r="X63" i="6"/>
  <c r="W63" i="6"/>
  <c r="V63" i="6"/>
  <c r="U63" i="6"/>
  <c r="T63" i="6"/>
  <c r="AG62" i="6"/>
  <c r="AF62" i="6"/>
  <c r="AE62" i="6"/>
  <c r="AD62" i="6"/>
  <c r="AC62" i="6"/>
  <c r="AB62" i="6"/>
  <c r="AA62" i="6"/>
  <c r="Z62" i="6"/>
  <c r="Y62" i="6"/>
  <c r="X62" i="6"/>
  <c r="W62" i="6"/>
  <c r="V62" i="6"/>
  <c r="U62" i="6"/>
  <c r="T62" i="6"/>
  <c r="AG61" i="6"/>
  <c r="AF61" i="6"/>
  <c r="AE61" i="6"/>
  <c r="AD61" i="6"/>
  <c r="AC61" i="6"/>
  <c r="AB61" i="6"/>
  <c r="AA61" i="6"/>
  <c r="Z61" i="6"/>
  <c r="Y61" i="6"/>
  <c r="X61" i="6"/>
  <c r="W61" i="6"/>
  <c r="V61" i="6"/>
  <c r="U61" i="6"/>
  <c r="T61" i="6"/>
  <c r="AG60" i="6"/>
  <c r="AF60" i="6"/>
  <c r="AE60" i="6"/>
  <c r="AD60" i="6"/>
  <c r="AC60" i="6"/>
  <c r="AB60" i="6"/>
  <c r="AA60" i="6"/>
  <c r="Z60" i="6"/>
  <c r="Y60" i="6"/>
  <c r="X60" i="6"/>
  <c r="W60" i="6"/>
  <c r="V60" i="6"/>
  <c r="U60" i="6"/>
  <c r="T60" i="6"/>
  <c r="AG59" i="6"/>
  <c r="AF59" i="6"/>
  <c r="AE59" i="6"/>
  <c r="AD59" i="6"/>
  <c r="AC59" i="6"/>
  <c r="AB59" i="6"/>
  <c r="AA59" i="6"/>
  <c r="Z59" i="6"/>
  <c r="Y59" i="6"/>
  <c r="X59" i="6"/>
  <c r="W59" i="6"/>
  <c r="V59" i="6"/>
  <c r="U59" i="6"/>
  <c r="T59" i="6"/>
  <c r="AG58" i="6"/>
  <c r="AF58" i="6"/>
  <c r="AE58" i="6"/>
  <c r="AD58" i="6"/>
  <c r="AC58" i="6"/>
  <c r="AB58" i="6"/>
  <c r="AA58" i="6"/>
  <c r="Z58" i="6"/>
  <c r="Y58" i="6"/>
  <c r="X58" i="6"/>
  <c r="W58" i="6"/>
  <c r="V58" i="6"/>
  <c r="U58" i="6"/>
  <c r="T58" i="6"/>
  <c r="AG57" i="6"/>
  <c r="AF57" i="6"/>
  <c r="AE57" i="6"/>
  <c r="AD57" i="6"/>
  <c r="AC57" i="6"/>
  <c r="AB57" i="6"/>
  <c r="AA57" i="6"/>
  <c r="Z57" i="6"/>
  <c r="Y57" i="6"/>
  <c r="X57" i="6"/>
  <c r="W57" i="6"/>
  <c r="V57" i="6"/>
  <c r="U57" i="6"/>
  <c r="T57" i="6"/>
  <c r="AG56" i="6"/>
  <c r="AF56" i="6"/>
  <c r="AE56" i="6"/>
  <c r="AD56" i="6"/>
  <c r="AC56" i="6"/>
  <c r="AB56" i="6"/>
  <c r="AA56" i="6"/>
  <c r="Z56" i="6"/>
  <c r="Y56" i="6"/>
  <c r="X56" i="6"/>
  <c r="W56" i="6"/>
  <c r="V56" i="6"/>
  <c r="U56" i="6"/>
  <c r="T56" i="6"/>
  <c r="AG55" i="6"/>
  <c r="AF55" i="6"/>
  <c r="AE55" i="6"/>
  <c r="AD55" i="6"/>
  <c r="AC55" i="6"/>
  <c r="AB55" i="6"/>
  <c r="AA55" i="6"/>
  <c r="Z55" i="6"/>
  <c r="Y55" i="6"/>
  <c r="X55" i="6"/>
  <c r="W55" i="6"/>
  <c r="V55" i="6"/>
  <c r="U55" i="6"/>
  <c r="T55" i="6"/>
  <c r="AG54" i="6"/>
  <c r="AF54" i="6"/>
  <c r="AE54" i="6"/>
  <c r="AD54" i="6"/>
  <c r="AC54" i="6"/>
  <c r="AB54" i="6"/>
  <c r="AA54" i="6"/>
  <c r="Z54" i="6"/>
  <c r="Y54" i="6"/>
  <c r="X54" i="6"/>
  <c r="W54" i="6"/>
  <c r="V54" i="6"/>
  <c r="U54" i="6"/>
  <c r="T54" i="6"/>
  <c r="AG53" i="6"/>
  <c r="AF53" i="6"/>
  <c r="AE53" i="6"/>
  <c r="AD53" i="6"/>
  <c r="AC53" i="6"/>
  <c r="AB53" i="6"/>
  <c r="AA53" i="6"/>
  <c r="Z53" i="6"/>
  <c r="Y53" i="6"/>
  <c r="X53" i="6"/>
  <c r="W53" i="6"/>
  <c r="V53" i="6"/>
  <c r="U53" i="6"/>
  <c r="T53" i="6"/>
  <c r="AG52" i="6"/>
  <c r="AF52" i="6"/>
  <c r="AE52" i="6"/>
  <c r="AD52" i="6"/>
  <c r="AC52" i="6"/>
  <c r="AB52" i="6"/>
  <c r="AA52" i="6"/>
  <c r="Z52" i="6"/>
  <c r="Y52" i="6"/>
  <c r="X52" i="6"/>
  <c r="W52" i="6"/>
  <c r="V52" i="6"/>
  <c r="U52" i="6"/>
  <c r="T52" i="6"/>
  <c r="AG51" i="6"/>
  <c r="AF51" i="6"/>
  <c r="AE51" i="6"/>
  <c r="AD51" i="6"/>
  <c r="AC51" i="6"/>
  <c r="AB51" i="6"/>
  <c r="AA51" i="6"/>
  <c r="Z51" i="6"/>
  <c r="Y51" i="6"/>
  <c r="X51" i="6"/>
  <c r="W51" i="6"/>
  <c r="V51" i="6"/>
  <c r="U51" i="6"/>
  <c r="T51" i="6"/>
  <c r="AG50" i="6"/>
  <c r="AF50" i="6"/>
  <c r="AE50" i="6"/>
  <c r="AD50" i="6"/>
  <c r="AC50" i="6"/>
  <c r="AB50" i="6"/>
  <c r="AA50" i="6"/>
  <c r="Z50" i="6"/>
  <c r="Y50" i="6"/>
  <c r="X50" i="6"/>
  <c r="W50" i="6"/>
  <c r="V50" i="6"/>
  <c r="U50" i="6"/>
  <c r="T50" i="6"/>
  <c r="AG49" i="6"/>
  <c r="AF49" i="6"/>
  <c r="AE49" i="6"/>
  <c r="AD49" i="6"/>
  <c r="AC49" i="6"/>
  <c r="AB49" i="6"/>
  <c r="AA49" i="6"/>
  <c r="Z49" i="6"/>
  <c r="Y49" i="6"/>
  <c r="X49" i="6"/>
  <c r="W49" i="6"/>
  <c r="V49" i="6"/>
  <c r="U49" i="6"/>
  <c r="T49" i="6"/>
  <c r="AG48" i="6"/>
  <c r="AF48" i="6"/>
  <c r="AE48" i="6"/>
  <c r="AD48" i="6"/>
  <c r="AC48" i="6"/>
  <c r="AB48" i="6"/>
  <c r="AA48" i="6"/>
  <c r="Z48" i="6"/>
  <c r="Y48" i="6"/>
  <c r="X48" i="6"/>
  <c r="W48" i="6"/>
  <c r="V48" i="6"/>
  <c r="U48" i="6"/>
  <c r="T48" i="6"/>
  <c r="AG47" i="6"/>
  <c r="AF47" i="6"/>
  <c r="AE47" i="6"/>
  <c r="AD47" i="6"/>
  <c r="AC47" i="6"/>
  <c r="AB47" i="6"/>
  <c r="AA47" i="6"/>
  <c r="Z47" i="6"/>
  <c r="Y47" i="6"/>
  <c r="X47" i="6"/>
  <c r="W47" i="6"/>
  <c r="V47" i="6"/>
  <c r="U47" i="6"/>
  <c r="T47" i="6"/>
  <c r="AG46" i="6"/>
  <c r="AF46" i="6"/>
  <c r="AE46" i="6"/>
  <c r="AD46" i="6"/>
  <c r="AC46" i="6"/>
  <c r="AB46" i="6"/>
  <c r="AA46" i="6"/>
  <c r="Z46" i="6"/>
  <c r="Y46" i="6"/>
  <c r="X46" i="6"/>
  <c r="W46" i="6"/>
  <c r="V46" i="6"/>
  <c r="U46" i="6"/>
  <c r="T46" i="6"/>
  <c r="AG45" i="6"/>
  <c r="AF45" i="6"/>
  <c r="AE45" i="6"/>
  <c r="AD45" i="6"/>
  <c r="AC45" i="6"/>
  <c r="AB45" i="6"/>
  <c r="AA45" i="6"/>
  <c r="Z45" i="6"/>
  <c r="Y45" i="6"/>
  <c r="X45" i="6"/>
  <c r="W45" i="6"/>
  <c r="V45" i="6"/>
  <c r="U45" i="6"/>
  <c r="T45" i="6"/>
  <c r="AG44" i="6"/>
  <c r="AF44" i="6"/>
  <c r="AE44" i="6"/>
  <c r="AD44" i="6"/>
  <c r="AC44" i="6"/>
  <c r="AB44" i="6"/>
  <c r="AA44" i="6"/>
  <c r="Z44" i="6"/>
  <c r="Y44" i="6"/>
  <c r="X44" i="6"/>
  <c r="W44" i="6"/>
  <c r="V44" i="6"/>
  <c r="U44" i="6"/>
  <c r="T44" i="6"/>
  <c r="AG43" i="6"/>
  <c r="AF43" i="6"/>
  <c r="AE43" i="6"/>
  <c r="AD43" i="6"/>
  <c r="AC43" i="6"/>
  <c r="AB43" i="6"/>
  <c r="AA43" i="6"/>
  <c r="Z43" i="6"/>
  <c r="Y43" i="6"/>
  <c r="X43" i="6"/>
  <c r="W43" i="6"/>
  <c r="V43" i="6"/>
  <c r="U43" i="6"/>
  <c r="T43" i="6"/>
  <c r="AG42" i="6"/>
  <c r="AF42" i="6"/>
  <c r="AE42" i="6"/>
  <c r="AD42" i="6"/>
  <c r="AC42" i="6"/>
  <c r="AB42" i="6"/>
  <c r="AA42" i="6"/>
  <c r="Z42" i="6"/>
  <c r="Y42" i="6"/>
  <c r="X42" i="6"/>
  <c r="W42" i="6"/>
  <c r="V42" i="6"/>
  <c r="U42" i="6"/>
  <c r="T42" i="6"/>
  <c r="AG41" i="6"/>
  <c r="AF41" i="6"/>
  <c r="AE41" i="6"/>
  <c r="AD41" i="6"/>
  <c r="AC41" i="6"/>
  <c r="AB41" i="6"/>
  <c r="AA41" i="6"/>
  <c r="Z41" i="6"/>
  <c r="Y41" i="6"/>
  <c r="X41" i="6"/>
  <c r="W41" i="6"/>
  <c r="V41" i="6"/>
  <c r="U41" i="6"/>
  <c r="T41" i="6"/>
  <c r="AG40" i="6"/>
  <c r="AF40" i="6"/>
  <c r="AE40" i="6"/>
  <c r="AD40" i="6"/>
  <c r="AC40" i="6"/>
  <c r="AB40" i="6"/>
  <c r="AA40" i="6"/>
  <c r="Z40" i="6"/>
  <c r="Y40" i="6"/>
  <c r="X40" i="6"/>
  <c r="W40" i="6"/>
  <c r="V40" i="6"/>
  <c r="U40" i="6"/>
  <c r="T40" i="6"/>
  <c r="AG39" i="6"/>
  <c r="AF39" i="6"/>
  <c r="AE39" i="6"/>
  <c r="AD39" i="6"/>
  <c r="AC39" i="6"/>
  <c r="AB39" i="6"/>
  <c r="AA39" i="6"/>
  <c r="Z39" i="6"/>
  <c r="Y39" i="6"/>
  <c r="X39" i="6"/>
  <c r="W39" i="6"/>
  <c r="V39" i="6"/>
  <c r="U39" i="6"/>
  <c r="T39" i="6"/>
  <c r="AG38" i="6"/>
  <c r="AF38" i="6"/>
  <c r="AE38" i="6"/>
  <c r="AD38" i="6"/>
  <c r="AC38" i="6"/>
  <c r="AB38" i="6"/>
  <c r="AA38" i="6"/>
  <c r="Z38" i="6"/>
  <c r="Y38" i="6"/>
  <c r="X38" i="6"/>
  <c r="W38" i="6"/>
  <c r="V38" i="6"/>
  <c r="U38" i="6"/>
  <c r="T38" i="6"/>
  <c r="AG37" i="6"/>
  <c r="AF37" i="6"/>
  <c r="AE37" i="6"/>
  <c r="AD37" i="6"/>
  <c r="AC37" i="6"/>
  <c r="AB37" i="6"/>
  <c r="AA37" i="6"/>
  <c r="Z37" i="6"/>
  <c r="Y37" i="6"/>
  <c r="X37" i="6"/>
  <c r="W37" i="6"/>
  <c r="V37" i="6"/>
  <c r="U37" i="6"/>
  <c r="T37" i="6"/>
  <c r="AG36" i="6"/>
  <c r="AF36" i="6"/>
  <c r="AE36" i="6"/>
  <c r="AD36" i="6"/>
  <c r="AC36" i="6"/>
  <c r="AB36" i="6"/>
  <c r="AA36" i="6"/>
  <c r="Z36" i="6"/>
  <c r="Y36" i="6"/>
  <c r="X36" i="6"/>
  <c r="W36" i="6"/>
  <c r="V36" i="6"/>
  <c r="U36" i="6"/>
  <c r="T36" i="6"/>
  <c r="AG35" i="6"/>
  <c r="AF35" i="6"/>
  <c r="AE35" i="6"/>
  <c r="AD35" i="6"/>
  <c r="AC35" i="6"/>
  <c r="AB35" i="6"/>
  <c r="AA35" i="6"/>
  <c r="Z35" i="6"/>
  <c r="Y35" i="6"/>
  <c r="X35" i="6"/>
  <c r="W35" i="6"/>
  <c r="V35" i="6"/>
  <c r="U35" i="6"/>
  <c r="T35" i="6"/>
  <c r="AG34" i="6"/>
  <c r="AF34" i="6"/>
  <c r="AE34" i="6"/>
  <c r="AD34" i="6"/>
  <c r="AC34" i="6"/>
  <c r="AB34" i="6"/>
  <c r="AA34" i="6"/>
  <c r="Z34" i="6"/>
  <c r="Y34" i="6"/>
  <c r="X34" i="6"/>
  <c r="W34" i="6"/>
  <c r="V34" i="6"/>
  <c r="U34" i="6"/>
  <c r="T34" i="6"/>
  <c r="AG33" i="6"/>
  <c r="AF33" i="6"/>
  <c r="AE33" i="6"/>
  <c r="AD33" i="6"/>
  <c r="AC33" i="6"/>
  <c r="AB33" i="6"/>
  <c r="AA33" i="6"/>
  <c r="Z33" i="6"/>
  <c r="Y33" i="6"/>
  <c r="X33" i="6"/>
  <c r="W33" i="6"/>
  <c r="V33" i="6"/>
  <c r="U33" i="6"/>
  <c r="T33" i="6"/>
  <c r="AG32" i="6"/>
  <c r="AF32" i="6"/>
  <c r="AE32" i="6"/>
  <c r="AD32" i="6"/>
  <c r="AC32" i="6"/>
  <c r="AB32" i="6"/>
  <c r="AA32" i="6"/>
  <c r="Z32" i="6"/>
  <c r="Y32" i="6"/>
  <c r="X32" i="6"/>
  <c r="W32" i="6"/>
  <c r="V32" i="6"/>
  <c r="U32" i="6"/>
  <c r="T32" i="6"/>
  <c r="AG31" i="6"/>
  <c r="AF31" i="6"/>
  <c r="AE31" i="6"/>
  <c r="AD31" i="6"/>
  <c r="AC31" i="6"/>
  <c r="AB31" i="6"/>
  <c r="AA31" i="6"/>
  <c r="Z31" i="6"/>
  <c r="Y31" i="6"/>
  <c r="X31" i="6"/>
  <c r="W31" i="6"/>
  <c r="V31" i="6"/>
  <c r="U31" i="6"/>
  <c r="T31" i="6"/>
  <c r="AG30" i="6"/>
  <c r="AF30" i="6"/>
  <c r="AE30" i="6"/>
  <c r="AD30" i="6"/>
  <c r="AC30" i="6"/>
  <c r="AB30" i="6"/>
  <c r="AA30" i="6"/>
  <c r="Z30" i="6"/>
  <c r="Y30" i="6"/>
  <c r="X30" i="6"/>
  <c r="W30" i="6"/>
  <c r="V30" i="6"/>
  <c r="U30" i="6"/>
  <c r="T30" i="6"/>
  <c r="AG29" i="6"/>
  <c r="AF29" i="6"/>
  <c r="AE29" i="6"/>
  <c r="AD29" i="6"/>
  <c r="AC29" i="6"/>
  <c r="AB29" i="6"/>
  <c r="AA29" i="6"/>
  <c r="Z29" i="6"/>
  <c r="Y29" i="6"/>
  <c r="X29" i="6"/>
  <c r="W29" i="6"/>
  <c r="V29" i="6"/>
  <c r="U29" i="6"/>
  <c r="T29" i="6"/>
  <c r="AG28" i="6"/>
  <c r="AF28" i="6"/>
  <c r="AE28" i="6"/>
  <c r="AD28" i="6"/>
  <c r="AC28" i="6"/>
  <c r="AB28" i="6"/>
  <c r="AA28" i="6"/>
  <c r="Z28" i="6"/>
  <c r="Y28" i="6"/>
  <c r="X28" i="6"/>
  <c r="W28" i="6"/>
  <c r="V28" i="6"/>
  <c r="U28" i="6"/>
  <c r="T28" i="6"/>
  <c r="AG27" i="6"/>
  <c r="AF27" i="6"/>
  <c r="AE27" i="6"/>
  <c r="AD27" i="6"/>
  <c r="AC27" i="6"/>
  <c r="AB27" i="6"/>
  <c r="AA27" i="6"/>
  <c r="Z27" i="6"/>
  <c r="Y27" i="6"/>
  <c r="X27" i="6"/>
  <c r="W27" i="6"/>
  <c r="V27" i="6"/>
  <c r="U27" i="6"/>
  <c r="T27" i="6"/>
  <c r="AG26" i="6"/>
  <c r="AF26" i="6"/>
  <c r="AE26" i="6"/>
  <c r="AD26" i="6"/>
  <c r="AC26" i="6"/>
  <c r="AB26" i="6"/>
  <c r="AA26" i="6"/>
  <c r="Z26" i="6"/>
  <c r="Y26" i="6"/>
  <c r="X26" i="6"/>
  <c r="W26" i="6"/>
  <c r="V26" i="6"/>
  <c r="U26" i="6"/>
  <c r="T26" i="6"/>
  <c r="AG25" i="6"/>
  <c r="AF25" i="6"/>
  <c r="AE25" i="6"/>
  <c r="AD25" i="6"/>
  <c r="AC25" i="6"/>
  <c r="AB25" i="6"/>
  <c r="AA25" i="6"/>
  <c r="Z25" i="6"/>
  <c r="Y25" i="6"/>
  <c r="X25" i="6"/>
  <c r="W25" i="6"/>
  <c r="V25" i="6"/>
  <c r="U25" i="6"/>
  <c r="T25" i="6"/>
  <c r="AG24" i="6"/>
  <c r="AF24" i="6"/>
  <c r="AE24" i="6"/>
  <c r="AD24" i="6"/>
  <c r="AC24" i="6"/>
  <c r="AB24" i="6"/>
  <c r="AA24" i="6"/>
  <c r="Z24" i="6"/>
  <c r="Y24" i="6"/>
  <c r="X24" i="6"/>
  <c r="W24" i="6"/>
  <c r="V24" i="6"/>
  <c r="U24" i="6"/>
  <c r="T24" i="6"/>
  <c r="AG23" i="6"/>
  <c r="AF23" i="6"/>
  <c r="AE23" i="6"/>
  <c r="AD23" i="6"/>
  <c r="AC23" i="6"/>
  <c r="AB23" i="6"/>
  <c r="AA23" i="6"/>
  <c r="Z23" i="6"/>
  <c r="Y23" i="6"/>
  <c r="X23" i="6"/>
  <c r="W23" i="6"/>
  <c r="V23" i="6"/>
  <c r="U23" i="6"/>
  <c r="T23" i="6"/>
  <c r="AG22" i="6"/>
  <c r="AF22" i="6"/>
  <c r="AE22" i="6"/>
  <c r="AD22" i="6"/>
  <c r="AC22" i="6"/>
  <c r="AB22" i="6"/>
  <c r="AA22" i="6"/>
  <c r="Z22" i="6"/>
  <c r="Y22" i="6"/>
  <c r="X22" i="6"/>
  <c r="W22" i="6"/>
  <c r="V22" i="6"/>
  <c r="U22" i="6"/>
  <c r="T22" i="6"/>
  <c r="AG21" i="6"/>
  <c r="AF21" i="6"/>
  <c r="AE21" i="6"/>
  <c r="AD21" i="6"/>
  <c r="AC21" i="6"/>
  <c r="AB21" i="6"/>
  <c r="AA21" i="6"/>
  <c r="Z21" i="6"/>
  <c r="Y21" i="6"/>
  <c r="X21" i="6"/>
  <c r="W21" i="6"/>
  <c r="V21" i="6"/>
  <c r="U21" i="6"/>
  <c r="T21" i="6"/>
  <c r="AG20" i="6"/>
  <c r="AF20" i="6"/>
  <c r="AE20" i="6"/>
  <c r="AD20" i="6"/>
  <c r="AC20" i="6"/>
  <c r="AB20" i="6"/>
  <c r="AA20" i="6"/>
  <c r="Z20" i="6"/>
  <c r="Y20" i="6"/>
  <c r="X20" i="6"/>
  <c r="W20" i="6"/>
  <c r="V20" i="6"/>
  <c r="U20" i="6"/>
  <c r="T20" i="6"/>
  <c r="AG19" i="6"/>
  <c r="AF19" i="6"/>
  <c r="AE19" i="6"/>
  <c r="AD19" i="6"/>
  <c r="AC19" i="6"/>
  <c r="AB19" i="6"/>
  <c r="AA19" i="6"/>
  <c r="Z19" i="6"/>
  <c r="Y19" i="6"/>
  <c r="X19" i="6"/>
  <c r="W19" i="6"/>
  <c r="V19" i="6"/>
  <c r="U19" i="6"/>
  <c r="T19" i="6"/>
  <c r="AG18" i="6"/>
  <c r="AF18" i="6"/>
  <c r="AE18" i="6"/>
  <c r="AD18" i="6"/>
  <c r="AC18" i="6"/>
  <c r="AB18" i="6"/>
  <c r="AA18" i="6"/>
  <c r="Z18" i="6"/>
  <c r="Y18" i="6"/>
  <c r="X18" i="6"/>
  <c r="W18" i="6"/>
  <c r="V18" i="6"/>
  <c r="U18" i="6"/>
  <c r="T18" i="6"/>
  <c r="AG17" i="6"/>
  <c r="AF17" i="6"/>
  <c r="AE17" i="6"/>
  <c r="AD17" i="6"/>
  <c r="AC17" i="6"/>
  <c r="AB17" i="6"/>
  <c r="AA17" i="6"/>
  <c r="Z17" i="6"/>
  <c r="Y17" i="6"/>
  <c r="X17" i="6"/>
  <c r="W17" i="6"/>
  <c r="V17" i="6"/>
  <c r="U17" i="6"/>
  <c r="T17" i="6"/>
  <c r="AG16" i="6"/>
  <c r="AF16" i="6"/>
  <c r="AE16" i="6"/>
  <c r="AD16" i="6"/>
  <c r="AC16" i="6"/>
  <c r="AB16" i="6"/>
  <c r="AA16" i="6"/>
  <c r="Z16" i="6"/>
  <c r="Y16" i="6"/>
  <c r="X16" i="6"/>
  <c r="W16" i="6"/>
  <c r="V16" i="6"/>
  <c r="U16" i="6"/>
  <c r="T16" i="6"/>
  <c r="AG15" i="6"/>
  <c r="AF15" i="6"/>
  <c r="AE15" i="6"/>
  <c r="AD15" i="6"/>
  <c r="AC15" i="6"/>
  <c r="AB15" i="6"/>
  <c r="AA15" i="6"/>
  <c r="Z15" i="6"/>
  <c r="Y15" i="6"/>
  <c r="X15" i="6"/>
  <c r="W15" i="6"/>
  <c r="V15" i="6"/>
  <c r="U15" i="6"/>
  <c r="T15" i="6"/>
  <c r="AG14" i="6"/>
  <c r="AF14" i="6"/>
  <c r="AE14" i="6"/>
  <c r="AD14" i="6"/>
  <c r="AC14" i="6"/>
  <c r="AB14" i="6"/>
  <c r="AA14" i="6"/>
  <c r="Z14" i="6"/>
  <c r="Y14" i="6"/>
  <c r="X14" i="6"/>
  <c r="W14" i="6"/>
  <c r="V14" i="6"/>
  <c r="U14" i="6"/>
  <c r="T14" i="6"/>
  <c r="AG13" i="6"/>
  <c r="AF13" i="6"/>
  <c r="AE13" i="6"/>
  <c r="AD13" i="6"/>
  <c r="AC13" i="6"/>
  <c r="AB13" i="6"/>
  <c r="AA13" i="6"/>
  <c r="Z13" i="6"/>
  <c r="Y13" i="6"/>
  <c r="X13" i="6"/>
  <c r="W13" i="6"/>
  <c r="V13" i="6"/>
  <c r="U13" i="6"/>
  <c r="T13" i="6"/>
  <c r="AG12" i="6"/>
  <c r="AF12" i="6"/>
  <c r="AE12" i="6"/>
  <c r="AD12" i="6"/>
  <c r="AC12" i="6"/>
  <c r="AB12" i="6"/>
  <c r="AA12" i="6"/>
  <c r="Z12" i="6"/>
  <c r="Y12" i="6"/>
  <c r="X12" i="6"/>
  <c r="W12" i="6"/>
  <c r="V12" i="6"/>
  <c r="U12" i="6"/>
  <c r="T12" i="6"/>
  <c r="AG11" i="6"/>
  <c r="AF11" i="6"/>
  <c r="AE11" i="6"/>
  <c r="AD11" i="6"/>
  <c r="AC11" i="6"/>
  <c r="AB11" i="6"/>
  <c r="AA11" i="6"/>
  <c r="Z11" i="6"/>
  <c r="Y11" i="6"/>
  <c r="X11" i="6"/>
  <c r="W11" i="6"/>
  <c r="V11" i="6"/>
  <c r="U11" i="6"/>
  <c r="T11" i="6"/>
  <c r="AG10" i="6"/>
  <c r="AF10" i="6"/>
  <c r="AE10" i="6"/>
  <c r="AD10" i="6"/>
  <c r="AC10" i="6"/>
  <c r="AB10" i="6"/>
  <c r="AA10" i="6"/>
  <c r="Z10" i="6"/>
  <c r="Y10" i="6"/>
  <c r="X10" i="6"/>
  <c r="W10" i="6"/>
  <c r="V10" i="6"/>
  <c r="U10" i="6"/>
  <c r="T10" i="6"/>
  <c r="AG9" i="6"/>
  <c r="AF9" i="6"/>
  <c r="AE9" i="6"/>
  <c r="AD9" i="6"/>
  <c r="AC9" i="6"/>
  <c r="AB9" i="6"/>
  <c r="AA9" i="6"/>
  <c r="Z9" i="6"/>
  <c r="Y9" i="6"/>
  <c r="X9" i="6"/>
  <c r="W9" i="6"/>
  <c r="V9" i="6"/>
  <c r="U9" i="6"/>
  <c r="T9" i="6"/>
  <c r="AG8" i="6"/>
  <c r="AF8" i="6"/>
  <c r="AE8" i="6"/>
  <c r="AD8" i="6"/>
  <c r="AC8" i="6"/>
  <c r="AB8" i="6"/>
  <c r="AA8" i="6"/>
  <c r="Z8" i="6"/>
  <c r="Y8" i="6"/>
  <c r="X8" i="6"/>
  <c r="W8" i="6"/>
  <c r="V8" i="6"/>
  <c r="U8" i="6"/>
  <c r="T8" i="6"/>
  <c r="AG7" i="6"/>
  <c r="AF7" i="6"/>
  <c r="AE7" i="6"/>
  <c r="AD7" i="6"/>
  <c r="AC7" i="6"/>
  <c r="AB7" i="6"/>
  <c r="AA7" i="6"/>
  <c r="Z7" i="6"/>
  <c r="Y7" i="6"/>
  <c r="X7" i="6"/>
  <c r="W7" i="6"/>
  <c r="V7" i="6"/>
  <c r="U7" i="6"/>
  <c r="T7" i="6"/>
  <c r="AG6" i="6"/>
  <c r="AF6" i="6"/>
  <c r="AE6" i="6"/>
  <c r="AD6" i="6"/>
  <c r="AC6" i="6"/>
  <c r="AB6" i="6"/>
  <c r="AA6" i="6"/>
  <c r="Z6" i="6"/>
  <c r="Y6" i="6"/>
  <c r="X6" i="6"/>
  <c r="W6" i="6"/>
  <c r="V6" i="6"/>
  <c r="U6" i="6"/>
  <c r="Q81" i="6"/>
  <c r="P81" i="6"/>
  <c r="O81" i="6"/>
  <c r="N81" i="6"/>
  <c r="M81" i="6"/>
  <c r="L81" i="6"/>
  <c r="K81" i="6"/>
  <c r="Q80" i="6"/>
  <c r="P80" i="6"/>
  <c r="O80" i="6"/>
  <c r="N80" i="6"/>
  <c r="M80" i="6"/>
  <c r="L80" i="6"/>
  <c r="K80" i="6"/>
  <c r="Q79" i="6"/>
  <c r="P79" i="6"/>
  <c r="O79" i="6"/>
  <c r="N79" i="6"/>
  <c r="M79" i="6"/>
  <c r="L79" i="6"/>
  <c r="K79" i="6"/>
  <c r="Q78" i="6"/>
  <c r="P78" i="6"/>
  <c r="O78" i="6"/>
  <c r="N78" i="6"/>
  <c r="M78" i="6"/>
  <c r="L78" i="6"/>
  <c r="K78" i="6"/>
  <c r="Q77" i="6"/>
  <c r="P77" i="6"/>
  <c r="O77" i="6"/>
  <c r="N77" i="6"/>
  <c r="M77" i="6"/>
  <c r="L77" i="6"/>
  <c r="K77" i="6"/>
  <c r="Q76" i="6"/>
  <c r="P76" i="6"/>
  <c r="O76" i="6"/>
  <c r="N76" i="6"/>
  <c r="M76" i="6"/>
  <c r="L76" i="6"/>
  <c r="K76" i="6"/>
  <c r="Q75" i="6"/>
  <c r="P75" i="6"/>
  <c r="O75" i="6"/>
  <c r="N75" i="6"/>
  <c r="M75" i="6"/>
  <c r="L75" i="6"/>
  <c r="K75" i="6"/>
  <c r="Q74" i="6"/>
  <c r="P74" i="6"/>
  <c r="O74" i="6"/>
  <c r="N74" i="6"/>
  <c r="M74" i="6"/>
  <c r="L74" i="6"/>
  <c r="K74" i="6"/>
  <c r="Q73" i="6"/>
  <c r="P73" i="6"/>
  <c r="O73" i="6"/>
  <c r="N73" i="6"/>
  <c r="M73" i="6"/>
  <c r="L73" i="6"/>
  <c r="K73" i="6"/>
  <c r="Q72" i="6"/>
  <c r="P72" i="6"/>
  <c r="O72" i="6"/>
  <c r="N72" i="6"/>
  <c r="M72" i="6"/>
  <c r="L72" i="6"/>
  <c r="K72" i="6"/>
  <c r="Q71" i="6"/>
  <c r="P71" i="6"/>
  <c r="O71" i="6"/>
  <c r="N71" i="6"/>
  <c r="M71" i="6"/>
  <c r="L71" i="6"/>
  <c r="K71" i="6"/>
  <c r="Q70" i="6"/>
  <c r="P70" i="6"/>
  <c r="O70" i="6"/>
  <c r="N70" i="6"/>
  <c r="M70" i="6"/>
  <c r="L70" i="6"/>
  <c r="K70" i="6"/>
  <c r="Q69" i="6"/>
  <c r="P69" i="6"/>
  <c r="O69" i="6"/>
  <c r="N69" i="6"/>
  <c r="M69" i="6"/>
  <c r="L69" i="6"/>
  <c r="K69" i="6"/>
  <c r="Q68" i="6"/>
  <c r="P68" i="6"/>
  <c r="O68" i="6"/>
  <c r="N68" i="6"/>
  <c r="M68" i="6"/>
  <c r="L68" i="6"/>
  <c r="K68" i="6"/>
  <c r="Q67" i="6"/>
  <c r="P67" i="6"/>
  <c r="O67" i="6"/>
  <c r="N67" i="6"/>
  <c r="M67" i="6"/>
  <c r="L67" i="6"/>
  <c r="K67" i="6"/>
  <c r="Q66" i="6"/>
  <c r="P66" i="6"/>
  <c r="O66" i="6"/>
  <c r="N66" i="6"/>
  <c r="M66" i="6"/>
  <c r="L66" i="6"/>
  <c r="K66" i="6"/>
  <c r="Q65" i="6"/>
  <c r="P65" i="6"/>
  <c r="O65" i="6"/>
  <c r="N65" i="6"/>
  <c r="M65" i="6"/>
  <c r="L65" i="6"/>
  <c r="K65" i="6"/>
  <c r="Q64" i="6"/>
  <c r="P64" i="6"/>
  <c r="O64" i="6"/>
  <c r="N64" i="6"/>
  <c r="M64" i="6"/>
  <c r="L64" i="6"/>
  <c r="K64" i="6"/>
  <c r="Q63" i="6"/>
  <c r="P63" i="6"/>
  <c r="O63" i="6"/>
  <c r="N63" i="6"/>
  <c r="M63" i="6"/>
  <c r="L63" i="6"/>
  <c r="K63" i="6"/>
  <c r="Q62" i="6"/>
  <c r="P62" i="6"/>
  <c r="O62" i="6"/>
  <c r="N62" i="6"/>
  <c r="M62" i="6"/>
  <c r="L62" i="6"/>
  <c r="K62" i="6"/>
  <c r="Q61" i="6"/>
  <c r="P61" i="6"/>
  <c r="O61" i="6"/>
  <c r="N61" i="6"/>
  <c r="M61" i="6"/>
  <c r="L61" i="6"/>
  <c r="K61" i="6"/>
  <c r="Q60" i="6"/>
  <c r="P60" i="6"/>
  <c r="O60" i="6"/>
  <c r="N60" i="6"/>
  <c r="M60" i="6"/>
  <c r="L60" i="6"/>
  <c r="K60" i="6"/>
  <c r="Q59" i="6"/>
  <c r="P59" i="6"/>
  <c r="O59" i="6"/>
  <c r="N59" i="6"/>
  <c r="M59" i="6"/>
  <c r="L59" i="6"/>
  <c r="K59" i="6"/>
  <c r="Q58" i="6"/>
  <c r="P58" i="6"/>
  <c r="O58" i="6"/>
  <c r="N58" i="6"/>
  <c r="M58" i="6"/>
  <c r="L58" i="6"/>
  <c r="K58" i="6"/>
  <c r="Q57" i="6"/>
  <c r="P57" i="6"/>
  <c r="O57" i="6"/>
  <c r="N57" i="6"/>
  <c r="M57" i="6"/>
  <c r="L57" i="6"/>
  <c r="K57" i="6"/>
  <c r="Q56" i="6"/>
  <c r="P56" i="6"/>
  <c r="O56" i="6"/>
  <c r="N56" i="6"/>
  <c r="M56" i="6"/>
  <c r="L56" i="6"/>
  <c r="K56" i="6"/>
  <c r="Q55" i="6"/>
  <c r="P55" i="6"/>
  <c r="O55" i="6"/>
  <c r="N55" i="6"/>
  <c r="M55" i="6"/>
  <c r="L55" i="6"/>
  <c r="K55" i="6"/>
  <c r="Q54" i="6"/>
  <c r="P54" i="6"/>
  <c r="O54" i="6"/>
  <c r="N54" i="6"/>
  <c r="M54" i="6"/>
  <c r="L54" i="6"/>
  <c r="K54" i="6"/>
  <c r="Q53" i="6"/>
  <c r="P53" i="6"/>
  <c r="O53" i="6"/>
  <c r="N53" i="6"/>
  <c r="M53" i="6"/>
  <c r="L53" i="6"/>
  <c r="K53" i="6"/>
  <c r="Q52" i="6"/>
  <c r="P52" i="6"/>
  <c r="O52" i="6"/>
  <c r="N52" i="6"/>
  <c r="M52" i="6"/>
  <c r="L52" i="6"/>
  <c r="K52" i="6"/>
  <c r="Q51" i="6"/>
  <c r="P51" i="6"/>
  <c r="O51" i="6"/>
  <c r="N51" i="6"/>
  <c r="M51" i="6"/>
  <c r="L51" i="6"/>
  <c r="K51" i="6"/>
  <c r="Q50" i="6"/>
  <c r="P50" i="6"/>
  <c r="O50" i="6"/>
  <c r="N50" i="6"/>
  <c r="M50" i="6"/>
  <c r="L50" i="6"/>
  <c r="K50" i="6"/>
  <c r="Q49" i="6"/>
  <c r="P49" i="6"/>
  <c r="O49" i="6"/>
  <c r="N49" i="6"/>
  <c r="M49" i="6"/>
  <c r="L49" i="6"/>
  <c r="K49" i="6"/>
  <c r="Q48" i="6"/>
  <c r="P48" i="6"/>
  <c r="O48" i="6"/>
  <c r="N48" i="6"/>
  <c r="M48" i="6"/>
  <c r="L48" i="6"/>
  <c r="K48" i="6"/>
  <c r="Q47" i="6"/>
  <c r="P47" i="6"/>
  <c r="O47" i="6"/>
  <c r="N47" i="6"/>
  <c r="M47" i="6"/>
  <c r="L47" i="6"/>
  <c r="K47" i="6"/>
  <c r="Q46" i="6"/>
  <c r="P46" i="6"/>
  <c r="O46" i="6"/>
  <c r="N46" i="6"/>
  <c r="M46" i="6"/>
  <c r="L46" i="6"/>
  <c r="K46" i="6"/>
  <c r="Q45" i="6"/>
  <c r="P45" i="6"/>
  <c r="O45" i="6"/>
  <c r="N45" i="6"/>
  <c r="M45" i="6"/>
  <c r="L45" i="6"/>
  <c r="K45" i="6"/>
  <c r="Q44" i="6"/>
  <c r="P44" i="6"/>
  <c r="O44" i="6"/>
  <c r="N44" i="6"/>
  <c r="M44" i="6"/>
  <c r="L44" i="6"/>
  <c r="K44" i="6"/>
  <c r="Q43" i="6"/>
  <c r="P43" i="6"/>
  <c r="O43" i="6"/>
  <c r="N43" i="6"/>
  <c r="M43" i="6"/>
  <c r="L43" i="6"/>
  <c r="K43" i="6"/>
  <c r="Q42" i="6"/>
  <c r="P42" i="6"/>
  <c r="O42" i="6"/>
  <c r="N42" i="6"/>
  <c r="M42" i="6"/>
  <c r="L42" i="6"/>
  <c r="K42" i="6"/>
  <c r="Q41" i="6"/>
  <c r="P41" i="6"/>
  <c r="O41" i="6"/>
  <c r="N41" i="6"/>
  <c r="M41" i="6"/>
  <c r="L41" i="6"/>
  <c r="K41" i="6"/>
  <c r="Q40" i="6"/>
  <c r="P40" i="6"/>
  <c r="O40" i="6"/>
  <c r="N40" i="6"/>
  <c r="M40" i="6"/>
  <c r="L40" i="6"/>
  <c r="K40" i="6"/>
  <c r="Q39" i="6"/>
  <c r="P39" i="6"/>
  <c r="O39" i="6"/>
  <c r="N39" i="6"/>
  <c r="M39" i="6"/>
  <c r="L39" i="6"/>
  <c r="K39" i="6"/>
  <c r="Q38" i="6"/>
  <c r="P38" i="6"/>
  <c r="O38" i="6"/>
  <c r="N38" i="6"/>
  <c r="M38" i="6"/>
  <c r="L38" i="6"/>
  <c r="K38" i="6"/>
  <c r="Q37" i="6"/>
  <c r="P37" i="6"/>
  <c r="O37" i="6"/>
  <c r="N37" i="6"/>
  <c r="M37" i="6"/>
  <c r="L37" i="6"/>
  <c r="K37" i="6"/>
  <c r="Q36" i="6"/>
  <c r="P36" i="6"/>
  <c r="O36" i="6"/>
  <c r="N36" i="6"/>
  <c r="M36" i="6"/>
  <c r="L36" i="6"/>
  <c r="K36" i="6"/>
  <c r="Q35" i="6"/>
  <c r="P35" i="6"/>
  <c r="O35" i="6"/>
  <c r="N35" i="6"/>
  <c r="M35" i="6"/>
  <c r="L35" i="6"/>
  <c r="K35" i="6"/>
  <c r="Q34" i="6"/>
  <c r="P34" i="6"/>
  <c r="O34" i="6"/>
  <c r="N34" i="6"/>
  <c r="M34" i="6"/>
  <c r="L34" i="6"/>
  <c r="K34" i="6"/>
  <c r="Q33" i="6"/>
  <c r="P33" i="6"/>
  <c r="O33" i="6"/>
  <c r="N33" i="6"/>
  <c r="M33" i="6"/>
  <c r="L33" i="6"/>
  <c r="K33" i="6"/>
  <c r="Q32" i="6"/>
  <c r="P32" i="6"/>
  <c r="O32" i="6"/>
  <c r="N32" i="6"/>
  <c r="M32" i="6"/>
  <c r="L32" i="6"/>
  <c r="K32" i="6"/>
  <c r="Q31" i="6"/>
  <c r="P31" i="6"/>
  <c r="O31" i="6"/>
  <c r="N31" i="6"/>
  <c r="M31" i="6"/>
  <c r="L31" i="6"/>
  <c r="K31" i="6"/>
  <c r="Q30" i="6"/>
  <c r="P30" i="6"/>
  <c r="O30" i="6"/>
  <c r="N30" i="6"/>
  <c r="M30" i="6"/>
  <c r="L30" i="6"/>
  <c r="K30" i="6"/>
  <c r="Q29" i="6"/>
  <c r="P29" i="6"/>
  <c r="O29" i="6"/>
  <c r="N29" i="6"/>
  <c r="M29" i="6"/>
  <c r="L29" i="6"/>
  <c r="K29" i="6"/>
  <c r="Q28" i="6"/>
  <c r="P28" i="6"/>
  <c r="O28" i="6"/>
  <c r="N28" i="6"/>
  <c r="M28" i="6"/>
  <c r="L28" i="6"/>
  <c r="K28" i="6"/>
  <c r="Q27" i="6"/>
  <c r="P27" i="6"/>
  <c r="O27" i="6"/>
  <c r="N27" i="6"/>
  <c r="M27" i="6"/>
  <c r="L27" i="6"/>
  <c r="K27" i="6"/>
  <c r="Q26" i="6"/>
  <c r="P26" i="6"/>
  <c r="O26" i="6"/>
  <c r="N26" i="6"/>
  <c r="M26" i="6"/>
  <c r="L26" i="6"/>
  <c r="K26" i="6"/>
  <c r="Q25" i="6"/>
  <c r="P25" i="6"/>
  <c r="O25" i="6"/>
  <c r="N25" i="6"/>
  <c r="M25" i="6"/>
  <c r="L25" i="6"/>
  <c r="K25" i="6"/>
  <c r="Q24" i="6"/>
  <c r="P24" i="6"/>
  <c r="O24" i="6"/>
  <c r="N24" i="6"/>
  <c r="M24" i="6"/>
  <c r="L24" i="6"/>
  <c r="K24" i="6"/>
  <c r="Q23" i="6"/>
  <c r="P23" i="6"/>
  <c r="O23" i="6"/>
  <c r="N23" i="6"/>
  <c r="M23" i="6"/>
  <c r="L23" i="6"/>
  <c r="K23" i="6"/>
  <c r="Q22" i="6"/>
  <c r="P22" i="6"/>
  <c r="O22" i="6"/>
  <c r="N22" i="6"/>
  <c r="M22" i="6"/>
  <c r="L22" i="6"/>
  <c r="K22" i="6"/>
  <c r="Q21" i="6"/>
  <c r="P21" i="6"/>
  <c r="O21" i="6"/>
  <c r="N21" i="6"/>
  <c r="M21" i="6"/>
  <c r="L21" i="6"/>
  <c r="K21" i="6"/>
  <c r="Q20" i="6"/>
  <c r="P20" i="6"/>
  <c r="O20" i="6"/>
  <c r="N20" i="6"/>
  <c r="M20" i="6"/>
  <c r="L20" i="6"/>
  <c r="K20" i="6"/>
  <c r="Q19" i="6"/>
  <c r="P19" i="6"/>
  <c r="O19" i="6"/>
  <c r="N19" i="6"/>
  <c r="M19" i="6"/>
  <c r="L19" i="6"/>
  <c r="K19" i="6"/>
  <c r="Q18" i="6"/>
  <c r="P18" i="6"/>
  <c r="O18" i="6"/>
  <c r="N18" i="6"/>
  <c r="M18" i="6"/>
  <c r="L18" i="6"/>
  <c r="K18" i="6"/>
  <c r="Q17" i="6"/>
  <c r="P17" i="6"/>
  <c r="O17" i="6"/>
  <c r="N17" i="6"/>
  <c r="M17" i="6"/>
  <c r="L17" i="6"/>
  <c r="K17" i="6"/>
  <c r="Q16" i="6"/>
  <c r="P16" i="6"/>
  <c r="O16" i="6"/>
  <c r="N16" i="6"/>
  <c r="M16" i="6"/>
  <c r="L16" i="6"/>
  <c r="K16" i="6"/>
  <c r="Q15" i="6"/>
  <c r="P15" i="6"/>
  <c r="O15" i="6"/>
  <c r="N15" i="6"/>
  <c r="M15" i="6"/>
  <c r="L15" i="6"/>
  <c r="K15" i="6"/>
  <c r="Q14" i="6"/>
  <c r="P14" i="6"/>
  <c r="O14" i="6"/>
  <c r="N14" i="6"/>
  <c r="M14" i="6"/>
  <c r="L14" i="6"/>
  <c r="K14" i="6"/>
  <c r="Q13" i="6"/>
  <c r="P13" i="6"/>
  <c r="O13" i="6"/>
  <c r="N13" i="6"/>
  <c r="M13" i="6"/>
  <c r="L13" i="6"/>
  <c r="K13" i="6"/>
  <c r="Q12" i="6"/>
  <c r="P12" i="6"/>
  <c r="O12" i="6"/>
  <c r="N12" i="6"/>
  <c r="M12" i="6"/>
  <c r="L12" i="6"/>
  <c r="K12" i="6"/>
  <c r="Q11" i="6"/>
  <c r="P11" i="6"/>
  <c r="O11" i="6"/>
  <c r="N11" i="6"/>
  <c r="M11" i="6"/>
  <c r="L11" i="6"/>
  <c r="K11" i="6"/>
  <c r="Q10" i="6"/>
  <c r="P10" i="6"/>
  <c r="O10" i="6"/>
  <c r="N10" i="6"/>
  <c r="M10" i="6"/>
  <c r="L10" i="6"/>
  <c r="K10" i="6"/>
  <c r="Q9" i="6"/>
  <c r="P9" i="6"/>
  <c r="O9" i="6"/>
  <c r="N9" i="6"/>
  <c r="M9" i="6"/>
  <c r="L9" i="6"/>
  <c r="K9" i="6"/>
  <c r="Q8" i="6"/>
  <c r="P8" i="6"/>
  <c r="O8" i="6"/>
  <c r="N8" i="6"/>
  <c r="M8" i="6"/>
  <c r="L8" i="6"/>
  <c r="K8" i="6"/>
  <c r="Q7" i="6"/>
  <c r="P7" i="6"/>
  <c r="O7" i="6"/>
  <c r="N7" i="6"/>
  <c r="M7" i="6"/>
  <c r="L7" i="6"/>
  <c r="K7" i="6"/>
  <c r="Q6" i="6"/>
  <c r="P6" i="6"/>
  <c r="O6" i="6"/>
  <c r="N6" i="6"/>
  <c r="M6" i="6"/>
  <c r="L6" i="6"/>
  <c r="H136" i="6"/>
  <c r="G136" i="6"/>
  <c r="F136" i="6"/>
  <c r="E136" i="6"/>
  <c r="D136" i="6"/>
  <c r="C136" i="6"/>
  <c r="B136" i="6"/>
  <c r="H135" i="6"/>
  <c r="G135" i="6"/>
  <c r="F135" i="6"/>
  <c r="E135" i="6"/>
  <c r="D135" i="6"/>
  <c r="C135" i="6"/>
  <c r="B135" i="6"/>
  <c r="H134" i="6"/>
  <c r="G134" i="6"/>
  <c r="F134" i="6"/>
  <c r="E134" i="6"/>
  <c r="D134" i="6"/>
  <c r="C134" i="6"/>
  <c r="B134" i="6"/>
  <c r="H133" i="6"/>
  <c r="G133" i="6"/>
  <c r="F133" i="6"/>
  <c r="E133" i="6"/>
  <c r="D133" i="6"/>
  <c r="C133" i="6"/>
  <c r="B133" i="6"/>
  <c r="H132" i="6"/>
  <c r="G132" i="6"/>
  <c r="F132" i="6"/>
  <c r="E132" i="6"/>
  <c r="D132" i="6"/>
  <c r="C132" i="6"/>
  <c r="B132" i="6"/>
  <c r="H131" i="6"/>
  <c r="G131" i="6"/>
  <c r="F131" i="6"/>
  <c r="E131" i="6"/>
  <c r="D131" i="6"/>
  <c r="C131" i="6"/>
  <c r="B131" i="6"/>
  <c r="H130" i="6"/>
  <c r="G130" i="6"/>
  <c r="F130" i="6"/>
  <c r="E130" i="6"/>
  <c r="D130" i="6"/>
  <c r="C130" i="6"/>
  <c r="B130" i="6"/>
  <c r="H129" i="6"/>
  <c r="G129" i="6"/>
  <c r="F129" i="6"/>
  <c r="E129" i="6"/>
  <c r="D129" i="6"/>
  <c r="C129" i="6"/>
  <c r="B129" i="6"/>
  <c r="H128" i="6"/>
  <c r="G128" i="6"/>
  <c r="F128" i="6"/>
  <c r="E128" i="6"/>
  <c r="D128" i="6"/>
  <c r="C128" i="6"/>
  <c r="B128" i="6"/>
  <c r="H127" i="6"/>
  <c r="G127" i="6"/>
  <c r="F127" i="6"/>
  <c r="E127" i="6"/>
  <c r="D127" i="6"/>
  <c r="C127" i="6"/>
  <c r="B127" i="6"/>
  <c r="H126" i="6"/>
  <c r="G126" i="6"/>
  <c r="F126" i="6"/>
  <c r="E126" i="6"/>
  <c r="D126" i="6"/>
  <c r="C126" i="6"/>
  <c r="B126" i="6"/>
  <c r="H125" i="6"/>
  <c r="G125" i="6"/>
  <c r="F125" i="6"/>
  <c r="E125" i="6"/>
  <c r="D125" i="6"/>
  <c r="C125" i="6"/>
  <c r="B125" i="6"/>
  <c r="H124" i="6"/>
  <c r="G124" i="6"/>
  <c r="F124" i="6"/>
  <c r="E124" i="6"/>
  <c r="D124" i="6"/>
  <c r="C124" i="6"/>
  <c r="B124" i="6"/>
  <c r="H123" i="6"/>
  <c r="G123" i="6"/>
  <c r="F123" i="6"/>
  <c r="E123" i="6"/>
  <c r="D123" i="6"/>
  <c r="C123" i="6"/>
  <c r="B123" i="6"/>
  <c r="H122" i="6"/>
  <c r="G122" i="6"/>
  <c r="F122" i="6"/>
  <c r="E122" i="6"/>
  <c r="D122" i="6"/>
  <c r="C122" i="6"/>
  <c r="B122" i="6"/>
  <c r="H121" i="6"/>
  <c r="G121" i="6"/>
  <c r="F121" i="6"/>
  <c r="E121" i="6"/>
  <c r="D121" i="6"/>
  <c r="C121" i="6"/>
  <c r="B121" i="6"/>
  <c r="H120" i="6"/>
  <c r="G120" i="6"/>
  <c r="F120" i="6"/>
  <c r="E120" i="6"/>
  <c r="D120" i="6"/>
  <c r="C120" i="6"/>
  <c r="B120" i="6"/>
  <c r="H119" i="6"/>
  <c r="G119" i="6"/>
  <c r="F119" i="6"/>
  <c r="E119" i="6"/>
  <c r="D119" i="6"/>
  <c r="C119" i="6"/>
  <c r="B119" i="6"/>
  <c r="H118" i="6"/>
  <c r="G118" i="6"/>
  <c r="F118" i="6"/>
  <c r="E118" i="6"/>
  <c r="D118" i="6"/>
  <c r="C118" i="6"/>
  <c r="B118" i="6"/>
  <c r="H117" i="6"/>
  <c r="G117" i="6"/>
  <c r="F117" i="6"/>
  <c r="E117" i="6"/>
  <c r="D117" i="6"/>
  <c r="C117" i="6"/>
  <c r="B117" i="6"/>
  <c r="H116" i="6"/>
  <c r="G116" i="6"/>
  <c r="F116" i="6"/>
  <c r="E116" i="6"/>
  <c r="D116" i="6"/>
  <c r="C116" i="6"/>
  <c r="B116" i="6"/>
  <c r="H115" i="6"/>
  <c r="G115" i="6"/>
  <c r="F115" i="6"/>
  <c r="E115" i="6"/>
  <c r="D115" i="6"/>
  <c r="C115" i="6"/>
  <c r="B115" i="6"/>
  <c r="H114" i="6"/>
  <c r="G114" i="6"/>
  <c r="F114" i="6"/>
  <c r="E114" i="6"/>
  <c r="D114" i="6"/>
  <c r="C114" i="6"/>
  <c r="B114" i="6"/>
  <c r="H113" i="6"/>
  <c r="G113" i="6"/>
  <c r="F113" i="6"/>
  <c r="E113" i="6"/>
  <c r="D113" i="6"/>
  <c r="C113" i="6"/>
  <c r="B113" i="6"/>
  <c r="H112" i="6"/>
  <c r="G112" i="6"/>
  <c r="F112" i="6"/>
  <c r="E112" i="6"/>
  <c r="D112" i="6"/>
  <c r="C112" i="6"/>
  <c r="B112" i="6"/>
  <c r="H111" i="6"/>
  <c r="G111" i="6"/>
  <c r="F111" i="6"/>
  <c r="E111" i="6"/>
  <c r="D111" i="6"/>
  <c r="C111" i="6"/>
  <c r="B111" i="6"/>
  <c r="H110" i="6"/>
  <c r="G110" i="6"/>
  <c r="F110" i="6"/>
  <c r="E110" i="6"/>
  <c r="D110" i="6"/>
  <c r="C110" i="6"/>
  <c r="B110" i="6"/>
  <c r="H109" i="6"/>
  <c r="G109" i="6"/>
  <c r="F109" i="6"/>
  <c r="E109" i="6"/>
  <c r="D109" i="6"/>
  <c r="C109" i="6"/>
  <c r="B109" i="6"/>
  <c r="H108" i="6"/>
  <c r="G108" i="6"/>
  <c r="F108" i="6"/>
  <c r="E108" i="6"/>
  <c r="D108" i="6"/>
  <c r="C108" i="6"/>
  <c r="B108" i="6"/>
  <c r="H107" i="6"/>
  <c r="G107" i="6"/>
  <c r="F107" i="6"/>
  <c r="E107" i="6"/>
  <c r="D107" i="6"/>
  <c r="C107" i="6"/>
  <c r="B107" i="6"/>
  <c r="H106" i="6"/>
  <c r="G106" i="6"/>
  <c r="F106" i="6"/>
  <c r="E106" i="6"/>
  <c r="D106" i="6"/>
  <c r="C106" i="6"/>
  <c r="B106" i="6"/>
  <c r="H105" i="6"/>
  <c r="G105" i="6"/>
  <c r="F105" i="6"/>
  <c r="E105" i="6"/>
  <c r="D105" i="6"/>
  <c r="C105" i="6"/>
  <c r="B105" i="6"/>
  <c r="H104" i="6"/>
  <c r="G104" i="6"/>
  <c r="F104" i="6"/>
  <c r="E104" i="6"/>
  <c r="D104" i="6"/>
  <c r="C104" i="6"/>
  <c r="B104" i="6"/>
  <c r="H103" i="6"/>
  <c r="G103" i="6"/>
  <c r="F103" i="6"/>
  <c r="E103" i="6"/>
  <c r="D103" i="6"/>
  <c r="C103" i="6"/>
  <c r="B103" i="6"/>
  <c r="H102" i="6"/>
  <c r="G102" i="6"/>
  <c r="F102" i="6"/>
  <c r="E102" i="6"/>
  <c r="D102" i="6"/>
  <c r="C102" i="6"/>
  <c r="B102" i="6"/>
  <c r="H101" i="6"/>
  <c r="G101" i="6"/>
  <c r="F101" i="6"/>
  <c r="E101" i="6"/>
  <c r="D101" i="6"/>
  <c r="C101" i="6"/>
  <c r="B101" i="6"/>
  <c r="H100" i="6"/>
  <c r="G100" i="6"/>
  <c r="F100" i="6"/>
  <c r="E100" i="6"/>
  <c r="D100" i="6"/>
  <c r="C100" i="6"/>
  <c r="B100" i="6"/>
  <c r="H99" i="6"/>
  <c r="G99" i="6"/>
  <c r="F99" i="6"/>
  <c r="E99" i="6"/>
  <c r="D99" i="6"/>
  <c r="C99" i="6"/>
  <c r="B99" i="6"/>
  <c r="H98" i="6"/>
  <c r="G98" i="6"/>
  <c r="F98" i="6"/>
  <c r="E98" i="6"/>
  <c r="D98" i="6"/>
  <c r="C98" i="6"/>
  <c r="B98" i="6"/>
  <c r="H97" i="6"/>
  <c r="G97" i="6"/>
  <c r="F97" i="6"/>
  <c r="E97" i="6"/>
  <c r="D97" i="6"/>
  <c r="C97" i="6"/>
  <c r="B97" i="6"/>
  <c r="H96" i="6"/>
  <c r="G96" i="6"/>
  <c r="F96" i="6"/>
  <c r="E96" i="6"/>
  <c r="D96" i="6"/>
  <c r="C96" i="6"/>
  <c r="B96" i="6"/>
  <c r="H95" i="6"/>
  <c r="G95" i="6"/>
  <c r="F95" i="6"/>
  <c r="E95" i="6"/>
  <c r="D95" i="6"/>
  <c r="C95" i="6"/>
  <c r="B95" i="6"/>
  <c r="H94" i="6"/>
  <c r="G94" i="6"/>
  <c r="F94" i="6"/>
  <c r="E94" i="6"/>
  <c r="D94" i="6"/>
  <c r="C94" i="6"/>
  <c r="B94" i="6"/>
  <c r="H93" i="6"/>
  <c r="G93" i="6"/>
  <c r="F93" i="6"/>
  <c r="E93" i="6"/>
  <c r="D93" i="6"/>
  <c r="C93" i="6"/>
  <c r="B93" i="6"/>
  <c r="H92" i="6"/>
  <c r="G92" i="6"/>
  <c r="F92" i="6"/>
  <c r="E92" i="6"/>
  <c r="D92" i="6"/>
  <c r="C92" i="6"/>
  <c r="B92" i="6"/>
  <c r="H91" i="6"/>
  <c r="G91" i="6"/>
  <c r="F91" i="6"/>
  <c r="E91" i="6"/>
  <c r="D91" i="6"/>
  <c r="C91" i="6"/>
  <c r="B91" i="6"/>
  <c r="H90" i="6"/>
  <c r="G90" i="6"/>
  <c r="F90" i="6"/>
  <c r="E90" i="6"/>
  <c r="D90" i="6"/>
  <c r="C90" i="6"/>
  <c r="B90" i="6"/>
  <c r="H89" i="6"/>
  <c r="G89" i="6"/>
  <c r="F89" i="6"/>
  <c r="E89" i="6"/>
  <c r="D89" i="6"/>
  <c r="C89" i="6"/>
  <c r="B89" i="6"/>
  <c r="H88" i="6"/>
  <c r="G88" i="6"/>
  <c r="F88" i="6"/>
  <c r="E88" i="6"/>
  <c r="D88" i="6"/>
  <c r="C88" i="6"/>
  <c r="B88" i="6"/>
  <c r="H87" i="6"/>
  <c r="G87" i="6"/>
  <c r="F87" i="6"/>
  <c r="E87" i="6"/>
  <c r="D87" i="6"/>
  <c r="C87" i="6"/>
  <c r="B87" i="6"/>
  <c r="H86" i="6"/>
  <c r="G86" i="6"/>
  <c r="F86" i="6"/>
  <c r="E86" i="6"/>
  <c r="D86" i="6"/>
  <c r="C86" i="6"/>
  <c r="B86" i="6"/>
  <c r="H85" i="6"/>
  <c r="G85" i="6"/>
  <c r="F85" i="6"/>
  <c r="E85" i="6"/>
  <c r="D85" i="6"/>
  <c r="C85" i="6"/>
  <c r="B85" i="6"/>
  <c r="H84" i="6"/>
  <c r="G84" i="6"/>
  <c r="F84" i="6"/>
  <c r="E84" i="6"/>
  <c r="D84" i="6"/>
  <c r="C84" i="6"/>
  <c r="B84" i="6"/>
  <c r="H83" i="6"/>
  <c r="G83" i="6"/>
  <c r="F83" i="6"/>
  <c r="E83" i="6"/>
  <c r="D83" i="6"/>
  <c r="C83" i="6"/>
  <c r="B83" i="6"/>
  <c r="H82" i="6"/>
  <c r="G82" i="6"/>
  <c r="F82" i="6"/>
  <c r="E82" i="6"/>
  <c r="D82" i="6"/>
  <c r="C82" i="6"/>
  <c r="B82" i="6"/>
  <c r="H81" i="6"/>
  <c r="G81" i="6"/>
  <c r="F81" i="6"/>
  <c r="E81" i="6"/>
  <c r="D81" i="6"/>
  <c r="C81" i="6"/>
  <c r="B81" i="6"/>
  <c r="H80" i="6"/>
  <c r="G80" i="6"/>
  <c r="F80" i="6"/>
  <c r="E80" i="6"/>
  <c r="D80" i="6"/>
  <c r="C80" i="6"/>
  <c r="B80" i="6"/>
  <c r="H79" i="6"/>
  <c r="G79" i="6"/>
  <c r="F79" i="6"/>
  <c r="E79" i="6"/>
  <c r="D79" i="6"/>
  <c r="C79" i="6"/>
  <c r="B79" i="6"/>
  <c r="H78" i="6"/>
  <c r="G78" i="6"/>
  <c r="F78" i="6"/>
  <c r="E78" i="6"/>
  <c r="D78" i="6"/>
  <c r="C78" i="6"/>
  <c r="B78" i="6"/>
  <c r="H77" i="6"/>
  <c r="G77" i="6"/>
  <c r="F77" i="6"/>
  <c r="E77" i="6"/>
  <c r="D77" i="6"/>
  <c r="C77" i="6"/>
  <c r="B77" i="6"/>
  <c r="H76" i="6"/>
  <c r="G76" i="6"/>
  <c r="F76" i="6"/>
  <c r="E76" i="6"/>
  <c r="D76" i="6"/>
  <c r="C76" i="6"/>
  <c r="B76" i="6"/>
  <c r="H75" i="6"/>
  <c r="G75" i="6"/>
  <c r="F75" i="6"/>
  <c r="E75" i="6"/>
  <c r="D75" i="6"/>
  <c r="C75" i="6"/>
  <c r="B75" i="6"/>
  <c r="H74" i="6"/>
  <c r="G74" i="6"/>
  <c r="F74" i="6"/>
  <c r="E74" i="6"/>
  <c r="D74" i="6"/>
  <c r="C74" i="6"/>
  <c r="B74" i="6"/>
  <c r="H73" i="6"/>
  <c r="G73" i="6"/>
  <c r="F73" i="6"/>
  <c r="E73" i="6"/>
  <c r="D73" i="6"/>
  <c r="C73" i="6"/>
  <c r="B73" i="6"/>
  <c r="H72" i="6"/>
  <c r="G72" i="6"/>
  <c r="F72" i="6"/>
  <c r="E72" i="6"/>
  <c r="D72" i="6"/>
  <c r="C72" i="6"/>
  <c r="B72" i="6"/>
  <c r="H71" i="6"/>
  <c r="G71" i="6"/>
  <c r="F71" i="6"/>
  <c r="E71" i="6"/>
  <c r="D71" i="6"/>
  <c r="C71" i="6"/>
  <c r="B71" i="6"/>
  <c r="H70" i="6"/>
  <c r="G70" i="6"/>
  <c r="F70" i="6"/>
  <c r="E70" i="6"/>
  <c r="D70" i="6"/>
  <c r="C70" i="6"/>
  <c r="B70" i="6"/>
  <c r="H69" i="6"/>
  <c r="G69" i="6"/>
  <c r="F69" i="6"/>
  <c r="E69" i="6"/>
  <c r="D69" i="6"/>
  <c r="C69" i="6"/>
  <c r="B69" i="6"/>
  <c r="H68" i="6"/>
  <c r="G68" i="6"/>
  <c r="F68" i="6"/>
  <c r="E68" i="6"/>
  <c r="D68" i="6"/>
  <c r="C68" i="6"/>
  <c r="B68" i="6"/>
  <c r="H67" i="6"/>
  <c r="G67" i="6"/>
  <c r="F67" i="6"/>
  <c r="E67" i="6"/>
  <c r="D67" i="6"/>
  <c r="C67" i="6"/>
  <c r="B67" i="6"/>
  <c r="H66" i="6"/>
  <c r="G66" i="6"/>
  <c r="F66" i="6"/>
  <c r="E66" i="6"/>
  <c r="D66" i="6"/>
  <c r="C66" i="6"/>
  <c r="B66" i="6"/>
  <c r="H65" i="6"/>
  <c r="G65" i="6"/>
  <c r="F65" i="6"/>
  <c r="E65" i="6"/>
  <c r="D65" i="6"/>
  <c r="C65" i="6"/>
  <c r="B65" i="6"/>
  <c r="H64" i="6"/>
  <c r="G64" i="6"/>
  <c r="F64" i="6"/>
  <c r="E64" i="6"/>
  <c r="D64" i="6"/>
  <c r="C64" i="6"/>
  <c r="B64" i="6"/>
  <c r="H63" i="6"/>
  <c r="G63" i="6"/>
  <c r="F63" i="6"/>
  <c r="E63" i="6"/>
  <c r="D63" i="6"/>
  <c r="C63" i="6"/>
  <c r="B63" i="6"/>
  <c r="H62" i="6"/>
  <c r="G62" i="6"/>
  <c r="F62" i="6"/>
  <c r="E62" i="6"/>
  <c r="D62" i="6"/>
  <c r="C62" i="6"/>
  <c r="B62" i="6"/>
  <c r="H61" i="6"/>
  <c r="G61" i="6"/>
  <c r="F61" i="6"/>
  <c r="E61" i="6"/>
  <c r="D61" i="6"/>
  <c r="C61" i="6"/>
  <c r="B61" i="6"/>
  <c r="H60" i="6"/>
  <c r="G60" i="6"/>
  <c r="F60" i="6"/>
  <c r="E60" i="6"/>
  <c r="D60" i="6"/>
  <c r="C60" i="6"/>
  <c r="B60" i="6"/>
  <c r="H59" i="6"/>
  <c r="G59" i="6"/>
  <c r="F59" i="6"/>
  <c r="E59" i="6"/>
  <c r="D59" i="6"/>
  <c r="C59" i="6"/>
  <c r="B59" i="6"/>
  <c r="H58" i="6"/>
  <c r="G58" i="6"/>
  <c r="F58" i="6"/>
  <c r="E58" i="6"/>
  <c r="D58" i="6"/>
  <c r="C58" i="6"/>
  <c r="B58" i="6"/>
  <c r="H57" i="6"/>
  <c r="G57" i="6"/>
  <c r="F57" i="6"/>
  <c r="E57" i="6"/>
  <c r="D57" i="6"/>
  <c r="C57" i="6"/>
  <c r="B57" i="6"/>
  <c r="H56" i="6"/>
  <c r="G56" i="6"/>
  <c r="F56" i="6"/>
  <c r="E56" i="6"/>
  <c r="D56" i="6"/>
  <c r="C56" i="6"/>
  <c r="B56" i="6"/>
  <c r="H55" i="6"/>
  <c r="G55" i="6"/>
  <c r="F55" i="6"/>
  <c r="E55" i="6"/>
  <c r="D55" i="6"/>
  <c r="C55" i="6"/>
  <c r="B55" i="6"/>
  <c r="H54" i="6"/>
  <c r="G54" i="6"/>
  <c r="F54" i="6"/>
  <c r="E54" i="6"/>
  <c r="D54" i="6"/>
  <c r="C54" i="6"/>
  <c r="B54" i="6"/>
  <c r="H53" i="6"/>
  <c r="G53" i="6"/>
  <c r="F53" i="6"/>
  <c r="E53" i="6"/>
  <c r="D53" i="6"/>
  <c r="C53" i="6"/>
  <c r="B53" i="6"/>
  <c r="H52" i="6"/>
  <c r="G52" i="6"/>
  <c r="F52" i="6"/>
  <c r="E52" i="6"/>
  <c r="D52" i="6"/>
  <c r="C52" i="6"/>
  <c r="B52" i="6"/>
  <c r="H51" i="6"/>
  <c r="G51" i="6"/>
  <c r="F51" i="6"/>
  <c r="E51" i="6"/>
  <c r="D51" i="6"/>
  <c r="C51" i="6"/>
  <c r="B51" i="6"/>
  <c r="H50" i="6"/>
  <c r="G50" i="6"/>
  <c r="F50" i="6"/>
  <c r="E50" i="6"/>
  <c r="D50" i="6"/>
  <c r="C50" i="6"/>
  <c r="B50" i="6"/>
  <c r="H49" i="6"/>
  <c r="G49" i="6"/>
  <c r="F49" i="6"/>
  <c r="E49" i="6"/>
  <c r="D49" i="6"/>
  <c r="C49" i="6"/>
  <c r="B49" i="6"/>
  <c r="H48" i="6"/>
  <c r="G48" i="6"/>
  <c r="F48" i="6"/>
  <c r="E48" i="6"/>
  <c r="D48" i="6"/>
  <c r="C48" i="6"/>
  <c r="B48" i="6"/>
  <c r="H47" i="6"/>
  <c r="G47" i="6"/>
  <c r="F47" i="6"/>
  <c r="E47" i="6"/>
  <c r="D47" i="6"/>
  <c r="C47" i="6"/>
  <c r="B47" i="6"/>
  <c r="H46" i="6"/>
  <c r="G46" i="6"/>
  <c r="F46" i="6"/>
  <c r="E46" i="6"/>
  <c r="D46" i="6"/>
  <c r="C46" i="6"/>
  <c r="B46" i="6"/>
  <c r="H45" i="6"/>
  <c r="G45" i="6"/>
  <c r="F45" i="6"/>
  <c r="E45" i="6"/>
  <c r="D45" i="6"/>
  <c r="C45" i="6"/>
  <c r="B45" i="6"/>
  <c r="H44" i="6"/>
  <c r="G44" i="6"/>
  <c r="F44" i="6"/>
  <c r="E44" i="6"/>
  <c r="D44" i="6"/>
  <c r="C44" i="6"/>
  <c r="B44" i="6"/>
  <c r="H43" i="6"/>
  <c r="G43" i="6"/>
  <c r="F43" i="6"/>
  <c r="E43" i="6"/>
  <c r="D43" i="6"/>
  <c r="C43" i="6"/>
  <c r="B43" i="6"/>
  <c r="H42" i="6"/>
  <c r="G42" i="6"/>
  <c r="F42" i="6"/>
  <c r="E42" i="6"/>
  <c r="D42" i="6"/>
  <c r="C42" i="6"/>
  <c r="B42" i="6"/>
  <c r="H41" i="6"/>
  <c r="G41" i="6"/>
  <c r="F41" i="6"/>
  <c r="E41" i="6"/>
  <c r="D41" i="6"/>
  <c r="C41" i="6"/>
  <c r="B41" i="6"/>
  <c r="H40" i="6"/>
  <c r="G40" i="6"/>
  <c r="F40" i="6"/>
  <c r="E40" i="6"/>
  <c r="D40" i="6"/>
  <c r="C40" i="6"/>
  <c r="B40" i="6"/>
  <c r="H39" i="6"/>
  <c r="G39" i="6"/>
  <c r="F39" i="6"/>
  <c r="E39" i="6"/>
  <c r="D39" i="6"/>
  <c r="C39" i="6"/>
  <c r="B39" i="6"/>
  <c r="H38" i="6"/>
  <c r="G38" i="6"/>
  <c r="F38" i="6"/>
  <c r="E38" i="6"/>
  <c r="D38" i="6"/>
  <c r="C38" i="6"/>
  <c r="B38" i="6"/>
  <c r="H37" i="6"/>
  <c r="G37" i="6"/>
  <c r="F37" i="6"/>
  <c r="E37" i="6"/>
  <c r="D37" i="6"/>
  <c r="C37" i="6"/>
  <c r="B37" i="6"/>
  <c r="H36" i="6"/>
  <c r="G36" i="6"/>
  <c r="F36" i="6"/>
  <c r="E36" i="6"/>
  <c r="D36" i="6"/>
  <c r="C36" i="6"/>
  <c r="B36" i="6"/>
  <c r="H35" i="6"/>
  <c r="G35" i="6"/>
  <c r="F35" i="6"/>
  <c r="E35" i="6"/>
  <c r="D35" i="6"/>
  <c r="C35" i="6"/>
  <c r="B35" i="6"/>
  <c r="H34" i="6"/>
  <c r="G34" i="6"/>
  <c r="F34" i="6"/>
  <c r="E34" i="6"/>
  <c r="D34" i="6"/>
  <c r="C34" i="6"/>
  <c r="B34" i="6"/>
  <c r="H33" i="6"/>
  <c r="G33" i="6"/>
  <c r="F33" i="6"/>
  <c r="E33" i="6"/>
  <c r="D33" i="6"/>
  <c r="C33" i="6"/>
  <c r="B33" i="6"/>
  <c r="H32" i="6"/>
  <c r="G32" i="6"/>
  <c r="F32" i="6"/>
  <c r="E32" i="6"/>
  <c r="D32" i="6"/>
  <c r="C32" i="6"/>
  <c r="B32" i="6"/>
  <c r="H31" i="6"/>
  <c r="G31" i="6"/>
  <c r="F31" i="6"/>
  <c r="E31" i="6"/>
  <c r="D31" i="6"/>
  <c r="C31" i="6"/>
  <c r="B31" i="6"/>
  <c r="H30" i="6"/>
  <c r="G30" i="6"/>
  <c r="F30" i="6"/>
  <c r="E30" i="6"/>
  <c r="D30" i="6"/>
  <c r="C30" i="6"/>
  <c r="B30" i="6"/>
  <c r="H29" i="6"/>
  <c r="G29" i="6"/>
  <c r="F29" i="6"/>
  <c r="E29" i="6"/>
  <c r="D29" i="6"/>
  <c r="C29" i="6"/>
  <c r="B29" i="6"/>
  <c r="H28" i="6"/>
  <c r="G28" i="6"/>
  <c r="F28" i="6"/>
  <c r="E28" i="6"/>
  <c r="D28" i="6"/>
  <c r="C28" i="6"/>
  <c r="B28" i="6"/>
  <c r="H27" i="6"/>
  <c r="G27" i="6"/>
  <c r="F27" i="6"/>
  <c r="E27" i="6"/>
  <c r="D27" i="6"/>
  <c r="C27" i="6"/>
  <c r="B27" i="6"/>
  <c r="H26" i="6"/>
  <c r="G26" i="6"/>
  <c r="F26" i="6"/>
  <c r="E26" i="6"/>
  <c r="D26" i="6"/>
  <c r="C26" i="6"/>
  <c r="B26" i="6"/>
  <c r="H25" i="6"/>
  <c r="G25" i="6"/>
  <c r="F25" i="6"/>
  <c r="E25" i="6"/>
  <c r="D25" i="6"/>
  <c r="C25" i="6"/>
  <c r="B25" i="6"/>
  <c r="H24" i="6"/>
  <c r="G24" i="6"/>
  <c r="F24" i="6"/>
  <c r="E24" i="6"/>
  <c r="D24" i="6"/>
  <c r="C24" i="6"/>
  <c r="B24" i="6"/>
  <c r="H23" i="6"/>
  <c r="G23" i="6"/>
  <c r="F23" i="6"/>
  <c r="E23" i="6"/>
  <c r="D23" i="6"/>
  <c r="C23" i="6"/>
  <c r="B23" i="6"/>
  <c r="H22" i="6"/>
  <c r="G22" i="6"/>
  <c r="F22" i="6"/>
  <c r="E22" i="6"/>
  <c r="D22" i="6"/>
  <c r="C22" i="6"/>
  <c r="B22" i="6"/>
  <c r="H21" i="6"/>
  <c r="G21" i="6"/>
  <c r="F21" i="6"/>
  <c r="E21" i="6"/>
  <c r="D21" i="6"/>
  <c r="C21" i="6"/>
  <c r="B21" i="6"/>
  <c r="H20" i="6"/>
  <c r="G20" i="6"/>
  <c r="F20" i="6"/>
  <c r="E20" i="6"/>
  <c r="D20" i="6"/>
  <c r="C20" i="6"/>
  <c r="B20" i="6"/>
  <c r="H19" i="6"/>
  <c r="G19" i="6"/>
  <c r="F19" i="6"/>
  <c r="E19" i="6"/>
  <c r="D19" i="6"/>
  <c r="C19" i="6"/>
  <c r="B19" i="6"/>
  <c r="H18" i="6"/>
  <c r="G18" i="6"/>
  <c r="F18" i="6"/>
  <c r="E18" i="6"/>
  <c r="D18" i="6"/>
  <c r="C18" i="6"/>
  <c r="B18" i="6"/>
  <c r="H17" i="6"/>
  <c r="G17" i="6"/>
  <c r="F17" i="6"/>
  <c r="E17" i="6"/>
  <c r="D17" i="6"/>
  <c r="C17" i="6"/>
  <c r="B17" i="6"/>
  <c r="H16" i="6"/>
  <c r="G16" i="6"/>
  <c r="F16" i="6"/>
  <c r="E16" i="6"/>
  <c r="D16" i="6"/>
  <c r="C16" i="6"/>
  <c r="B16" i="6"/>
  <c r="H15" i="6"/>
  <c r="G15" i="6"/>
  <c r="F15" i="6"/>
  <c r="E15" i="6"/>
  <c r="D15" i="6"/>
  <c r="C15" i="6"/>
  <c r="B15" i="6"/>
  <c r="H14" i="6"/>
  <c r="G14" i="6"/>
  <c r="F14" i="6"/>
  <c r="E14" i="6"/>
  <c r="D14" i="6"/>
  <c r="C14" i="6"/>
  <c r="B14" i="6"/>
  <c r="H13" i="6"/>
  <c r="G13" i="6"/>
  <c r="F13" i="6"/>
  <c r="E13" i="6"/>
  <c r="D13" i="6"/>
  <c r="C13" i="6"/>
  <c r="B13" i="6"/>
  <c r="H12" i="6"/>
  <c r="G12" i="6"/>
  <c r="F12" i="6"/>
  <c r="E12" i="6"/>
  <c r="D12" i="6"/>
  <c r="C12" i="6"/>
  <c r="B12" i="6"/>
  <c r="H11" i="6"/>
  <c r="G11" i="6"/>
  <c r="F11" i="6"/>
  <c r="E11" i="6"/>
  <c r="D11" i="6"/>
  <c r="C11" i="6"/>
  <c r="B11" i="6"/>
  <c r="H10" i="6"/>
  <c r="G10" i="6"/>
  <c r="F10" i="6"/>
  <c r="E10" i="6"/>
  <c r="D10" i="6"/>
  <c r="C10" i="6"/>
  <c r="B10" i="6"/>
  <c r="H9" i="6"/>
  <c r="G9" i="6"/>
  <c r="F9" i="6"/>
  <c r="E9" i="6"/>
  <c r="D9" i="6"/>
  <c r="C9" i="6"/>
  <c r="B9" i="6"/>
  <c r="H8" i="6"/>
  <c r="G8" i="6"/>
  <c r="F8" i="6"/>
  <c r="E8" i="6"/>
  <c r="D8" i="6"/>
  <c r="C8" i="6"/>
  <c r="B8" i="6"/>
  <c r="H7" i="6"/>
  <c r="G7" i="6"/>
  <c r="F7" i="6"/>
  <c r="E7" i="6"/>
  <c r="D7" i="6"/>
  <c r="C7" i="6"/>
  <c r="B7" i="6"/>
  <c r="H6" i="6"/>
  <c r="G6" i="6"/>
  <c r="F6" i="6"/>
  <c r="E6" i="6"/>
  <c r="D6" i="6"/>
  <c r="C6"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<sst xmlns="http://schemas.openxmlformats.org/spreadsheetml/2006/main" count="2394" uniqueCount="495">
  <si>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</si>
  <si>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</si>
  <si>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</si>
  <si>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</si>
  <si>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</si>
  <si>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</si>
  <si>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</si>
  <si>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</si>
  <si>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</si>
  <si>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</si>
  <si>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</si>
  <si>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</si>
  <si>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</si>
  <si>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</si>
  <si>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</si>
  <si>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</si>
  <si>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</si>
  <si>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</si>
  <si>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</si>
  <si>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</si>
  <si>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</si>
  <si>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</si>
  <si>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</si>
  <si>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</si>
  <si>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</si>
  <si>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</si>
  <si>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</si>
  <si>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</si>
  <si>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</si>
  <si>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</si>
  <si>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</si>
  <si>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</si>
  <si>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</si>
  <si>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</si>
  <si>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</si>
  <si>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</si>
  <si>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</si>
  <si>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</si>
  <si>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</si>
  <si>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</si>
  <si>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</si>
  <si>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</si>
  <si>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</si>
  <si>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</si>
  <si>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</si>
  <si>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</si>
  <si>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</si>
  <si>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</si>
  <si>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</si>
  <si>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</si>
  <si>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</si>
  <si>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</si>
  <si>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</si>
  <si>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</si>
  <si>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</si>
  <si>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</si>
  <si>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</si>
  <si>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</si>
  <si>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</si>
  <si>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</si>
  <si>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</si>
  <si>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</si>
  <si>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</si>
  <si>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</si>
  <si>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</si>
  <si>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</si>
  <si>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</si>
  <si>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</si>
  <si>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</si>
  <si>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</si>
  <si>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</si>
  <si>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</si>
  <si>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</si>
  <si>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</si>
  <si>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</si>
  <si>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</si>
  <si>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</si>
  <si>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</si>
  <si>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</si>
  <si>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</si>
  <si>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</si>
  <si>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</si>
  <si>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</si>
  <si>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</si>
  <si>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</si>
  <si>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</si>
  <si>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</si>
  <si>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</si>
  <si>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</si>
  <si>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</si>
  <si>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</si>
  <si>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</si>
  <si>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</si>
  <si>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</si>
  <si>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</si>
  <si>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</si>
  <si>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</si>
  <si>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</si>
  <si>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</si>
  <si>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</si>
  <si>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</si>
  <si>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</si>
  <si>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</si>
  <si>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</si>
  <si>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</si>
  <si>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</si>
  <si>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</si>
  <si>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</si>
  <si>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</si>
  <si>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</si>
  <si>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</si>
  <si>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</si>
  <si>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</si>
  <si>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</si>
  <si>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</si>
  <si>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</si>
  <si>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</si>
  <si>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</si>
  <si>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</si>
  <si>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</si>
  <si>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</si>
  <si>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</si>
  <si>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</si>
  <si>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</si>
  <si>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</si>
  <si>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</si>
  <si>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</si>
  <si>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</si>
  <si>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</si>
  <si>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</si>
  <si>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</si>
  <si>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</si>
  <si>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</si>
  <si>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</si>
  <si>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</si>
  <si>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</si>
  <si>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</si>
  <si>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</si>
  <si>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</si>
  <si>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</si>
  <si>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</si>
  <si>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</si>
  <si>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</si>
  <si>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</si>
  <si>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</si>
  <si>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</si>
  <si>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</si>
  <si>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</si>
  <si>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</si>
  <si>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</si>
  <si>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</si>
  <si>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</si>
  <si>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</si>
  <si>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</si>
  <si>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</si>
  <si>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</si>
  <si>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</si>
  <si>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</si>
  <si>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</si>
  <si>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</si>
  <si>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</si>
  <si>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</si>
  <si>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</si>
  <si>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</si>
  <si>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</si>
  <si>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</si>
  <si>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</si>
  <si>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</si>
  <si>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</si>
  <si>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</si>
  <si>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</si>
  <si>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</si>
  <si>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</si>
  <si>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</si>
  <si>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</si>
  <si>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</si>
  <si>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</si>
  <si>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</si>
  <si>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</si>
  <si>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</si>
  <si>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</si>
  <si>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</si>
  <si>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</si>
  <si>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</si>
  <si>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</si>
  <si>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</si>
  <si>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</si>
  <si>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</si>
  <si>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</si>
  <si>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</si>
  <si>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</si>
  <si>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</si>
  <si>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</si>
  <si>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</si>
  <si>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</si>
  <si>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</si>
  <si>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</si>
  <si>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</si>
  <si>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</si>
  <si>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</si>
  <si>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</si>
  <si>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</si>
  <si>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</si>
  <si>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</si>
  <si>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</si>
  <si>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</si>
  <si>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</si>
  <si>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</si>
  <si>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</si>
  <si>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</si>
  <si>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</si>
  <si>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</si>
  <si>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</si>
  <si>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</si>
  <si>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</si>
  <si>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</si>
  <si>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</si>
  <si>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</si>
  <si>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</si>
  <si>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</si>
  <si>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</si>
  <si>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</si>
  <si>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</si>
  <si>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</si>
  <si>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</si>
  <si>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</si>
  <si>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</si>
  <si>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</si>
  <si>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</si>
  <si>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</si>
  <si>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</si>
  <si>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</si>
  <si>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</si>
  <si>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</si>
  <si>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</si>
  <si>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</si>
  <si>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</si>
  <si>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</si>
  <si>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</si>
  <si>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</si>
  <si>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</si>
  <si>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</si>
  <si>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</si>
  <si>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</si>
  <si>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</si>
  <si>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</si>
  <si>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</si>
  <si>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</si>
  <si>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</si>
  <si>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</si>
  <si>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</si>
  <si>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</si>
  <si>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</si>
  <si>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</si>
  <si>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</si>
  <si>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</si>
  <si>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</si>
  <si>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</si>
  <si>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</si>
  <si>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</si>
  <si>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</si>
  <si>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</si>
  <si>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</si>
  <si>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</si>
  <si>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</si>
  <si>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</si>
  <si>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</si>
  <si>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</si>
  <si>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</si>
  <si>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</si>
  <si>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</si>
  <si>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</si>
  <si>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</si>
  <si>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</si>
  <si>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</si>
  <si>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</si>
  <si>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</si>
  <si>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</si>
  <si>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</si>
  <si>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</si>
  <si>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</si>
  <si>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</si>
  <si>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</si>
  <si>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</si>
  <si>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</si>
  <si>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</si>
  <si>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</si>
  <si>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</si>
  <si>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</si>
  <si>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</si>
  <si>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</si>
  <si>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</si>
  <si>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</si>
  <si>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</si>
  <si>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</si>
  <si>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</si>
  <si>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</si>
  <si>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</si>
  <si>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</si>
  <si>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</si>
  <si>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</si>
  <si>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</si>
  <si>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</si>
  <si>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</si>
  <si>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</si>
  <si>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</si>
  <si>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</si>
  <si>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</si>
  <si>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</si>
  <si>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</si>
  <si>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</si>
  <si>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</si>
  <si>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</si>
  <si>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</si>
  <si>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</si>
  <si>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</si>
  <si>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</si>
  <si>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</si>
  <si>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</si>
  <si>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</si>
  <si>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</si>
  <si>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</si>
  <si>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</si>
  <si>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</si>
  <si>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</si>
  <si>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</si>
  <si>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</si>
  <si>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</si>
  <si>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</si>
  <si>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</si>
  <si>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</si>
  <si>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</si>
  <si>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</si>
  <si>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</si>
  <si>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</si>
  <si>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</si>
  <si>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</si>
  <si>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</si>
  <si>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</si>
  <si>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</si>
  <si>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</si>
  <si>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</si>
  <si>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</si>
  <si>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</si>
  <si>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</si>
  <si>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</si>
  <si>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</si>
  <si>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</si>
  <si>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</si>
  <si>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</si>
  <si>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</si>
  <si>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</si>
  <si>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</si>
  <si>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</si>
  <si>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</si>
  <si>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</si>
  <si>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</si>
  <si>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</si>
  <si>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</si>
  <si>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</si>
  <si>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</si>
  <si>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</si>
  <si>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</si>
  <si>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</si>
  <si>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</si>
  <si>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</si>
  <si>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</si>
  <si>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</si>
  <si>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</si>
  <si>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</si>
  <si>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</si>
  <si>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</si>
  <si>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</si>
  <si>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</si>
  <si>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</si>
  <si>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</si>
  <si>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</si>
  <si>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</si>
  <si>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</si>
  <si>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</si>
  <si>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</si>
  <si>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</si>
  <si>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</si>
  <si>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</si>
  <si>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</si>
  <si>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</si>
  <si>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</si>
  <si>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</si>
  <si>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</si>
  <si>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</si>
  <si>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</si>
  <si>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</si>
  <si>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</si>
  <si>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</si>
  <si>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</si>
  <si>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</si>
  <si>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</si>
  <si>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</si>
  <si>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</si>
  <si>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SLOPE</t>
  </si>
  <si>
    <t>INTERCEPT</t>
  </si>
  <si>
    <t>R-Squared (RSQ)</t>
  </si>
  <si>
    <t>CORREL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</si>
  <si>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</si>
  <si>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</si>
  <si>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</si>
  <si>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</si>
  <si>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</si>
  <si>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</si>
  <si>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</si>
  <si>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</si>
  <si>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</si>
  <si>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</si>
  <si>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</si>
  <si>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</si>
  <si>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</si>
  <si>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</si>
  <si>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</si>
  <si>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</si>
  <si>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</si>
  <si>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</si>
  <si>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</si>
  <si>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</si>
  <si>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</si>
  <si>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</si>
  <si>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</si>
  <si>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</si>
  <si>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</si>
  <si>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LINEAR REGRESSION</t>
  </si>
  <si>
    <t>PREDICTION TOTAL AMOUNT</t>
  </si>
  <si>
    <t xml:space="preserve">Qunatity </t>
  </si>
  <si>
    <t>Predicted Amount</t>
  </si>
  <si>
    <t>Customers_ID</t>
  </si>
  <si>
    <t>Customers_Name</t>
  </si>
  <si>
    <t>DATE &amp; TIME FUNCTIONS .</t>
  </si>
  <si>
    <t>TODAY(), NOW(), DATEDIF(), EOMONTH().</t>
  </si>
  <si>
    <t>Current Date (TODAY)</t>
  </si>
  <si>
    <t>Current Date &amp; Time (NOW)</t>
  </si>
  <si>
    <t>End of Current Month (EOMONTH)</t>
  </si>
  <si>
    <t>Day's Since Customer Join (DATEDIF)</t>
  </si>
  <si>
    <t>Product ID</t>
  </si>
  <si>
    <t>Product Name</t>
  </si>
  <si>
    <t>Total Revenue</t>
  </si>
  <si>
    <t>Units Sold</t>
  </si>
  <si>
    <t>Transaction</t>
  </si>
  <si>
    <t>Transactions</t>
  </si>
  <si>
    <t>Unique Customers</t>
  </si>
  <si>
    <t>3.FILTER(Premium Segment Customers)</t>
  </si>
  <si>
    <t>1. FILTER (Electronics Categories Product)</t>
  </si>
  <si>
    <t>2. FILTER(Furnitures Categories Product)</t>
  </si>
  <si>
    <t>Transaction ID</t>
  </si>
  <si>
    <t>Customer Name</t>
  </si>
  <si>
    <t>Amount</t>
  </si>
  <si>
    <t>Trend</t>
  </si>
  <si>
    <t>Most frequently  purchased product</t>
  </si>
  <si>
    <t>Current  Average Transaction</t>
  </si>
  <si>
    <t>Price Percentage of Increase/Discrease</t>
  </si>
  <si>
    <t>New Average  Transaction</t>
  </si>
  <si>
    <t xml:space="preserve">Projected Total Revenue  </t>
  </si>
  <si>
    <t>WHAT IF ANALYSIS</t>
  </si>
  <si>
    <t>GOAL SEEK</t>
  </si>
  <si>
    <t>Target Revenue</t>
  </si>
  <si>
    <t xml:space="preserve">Percentage off required </t>
  </si>
  <si>
    <t>New Transaction Value</t>
  </si>
  <si>
    <t>SCENARIO  MANAGER</t>
  </si>
  <si>
    <t>CUSTOMER ABBREVIATION (TEXT FUNCTION)</t>
  </si>
  <si>
    <t>Full Name</t>
  </si>
  <si>
    <t>Abbreviation</t>
  </si>
  <si>
    <t>Total Transactions</t>
  </si>
  <si>
    <t>Total Units Sold</t>
  </si>
  <si>
    <t>Sum of Total_Amount</t>
  </si>
  <si>
    <t>Grand Total</t>
  </si>
  <si>
    <t>Years (Date)</t>
  </si>
  <si>
    <t>Months (Date)</t>
  </si>
  <si>
    <t>Jan</t>
  </si>
  <si>
    <t>Feb</t>
  </si>
  <si>
    <t>Mar</t>
  </si>
  <si>
    <t>Apr</t>
  </si>
  <si>
    <t>May</t>
  </si>
  <si>
    <t>Jun</t>
  </si>
  <si>
    <t>Jul</t>
  </si>
  <si>
    <t>Aug</t>
  </si>
  <si>
    <t>Sep</t>
  </si>
  <si>
    <t>Oct</t>
  </si>
  <si>
    <t>Nov</t>
  </si>
  <si>
    <t>Dec</t>
  </si>
  <si>
    <t>Count of Transaction_ID</t>
  </si>
  <si>
    <t>Average Order Value</t>
  </si>
  <si>
    <t>Total Unique Customers</t>
  </si>
  <si>
    <t>KEY PERFORMANCE INDICATOR</t>
  </si>
  <si>
    <t>Conditional Formattaing</t>
  </si>
  <si>
    <t>FILTER FUNCTION</t>
  </si>
  <si>
    <t>ABBREVIATION FUNCTION</t>
  </si>
  <si>
    <t>📶 High Value Customers</t>
  </si>
  <si>
    <t>Avg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</si>
</sst>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0.0000"/>
    <numFmt numFmtId="165" formatCode="[$$-409]#,##0.00"/>
    <numFmt numFmtId="166" formatCode="_-[$$-409]* #,##0.00_ ;_-[$$-409]* \-#,##0.00\ ;_-[$$-409]* &quot;-&quot;??_ ;_-@_ "/>
  </numFmts>
  <fonts count="12">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b/>
      <i/>
      <sz val="11"/>
      <color theme="1"/>
      <name val="Aptos Narrow"/>
      <family val="2"/>
      <scheme val="minor"/>
    </font>
    <font>
      <b/>
      <sz val="14"/>
      <color rgb="FFC00000"/>
      <name val="Aptos Narrow"/>
      <family val="2"/>
      <scheme val="minor"/>
    </font>
    <font>
      <sz val="10"/>
      <color theme="1"/>
      <name val="Aptos Narrow"/>
      <family val="2"/>
      <scheme val="minor"/>
    </font>
    <font>
      <sz val="11"/>
      <color theme="1"/>
      <name val="Aptos Narrow"/>
      <family val="2"/>
      <scheme val="minor"/>
    </font>
    <font>
      <b/>
      <sz val="14"/>
      <color theme="1"/>
      <name val="Aptos Narrow"/>
      <family val="2"/>
      <scheme val="minor"/>
    </font>
    <font>
      <b/>
      <sz val="16"/>
      <color theme="1"/>
      <name val="Aptos Narrow"/>
      <family val="2"/>
      <scheme val="minor"/>
    </font>
    <font>
      <b/>
      <sz val="11"/>
      <color theme="1"/>
      <name val="Aptos Narrow"/>
      <scheme val="minor"/>
    </font>
  </fonts>
  <fills count="1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C000"/>
        <bgColor indexed="64"/>
      </patternFill>
    </fill>
    <fill>
      <patternFill patternType="solid">
        <fgColor theme="4" tint="0.59999389629810485"/>
        <bgColor indexed="64"/>
      </patternFill>
    </fill>
    <fill>
      <patternFill patternType="solid">
        <fgColor rgb="FF83B9EB"/>
        <bgColor indexed="64"/>
      </patternFill>
    </fill>
    <fill>
      <patternFill patternType="solid">
        <fgColor rgb="FFC2EAB4"/>
        <bgColor indexed="64"/>
      </patternFill>
    </fill>
    <fill>
      <patternFill patternType="solid">
        <fgColor rgb="FFC2A4C8"/>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4893D8"/>
        <bgColor indexed="64"/>
      </patternFill>
    </fill>
    <fill>
      <patternFill patternType="solid">
        <fgColor theme="7" tint="0.79998168889431442"/>
        <bgColor indexed="64"/>
      </patternFill>
    </fill>
    <fill>
      <patternFill patternType="solid">
        <fgColor theme="4" tint="0.79998168889431442"/>
        <bgColor indexed="64"/>
      </patternFill>
    </fill>
  </fills>
  <borders count="19">
    <border>
      <left/>
      <right/>
      <top/>
      <bottom/>
      <diagonal/>
    </border>
    <border>
      <left style="medium">
        <color rgb="FFCCCCCC"/>
      </left>
      <right/>
      <top/>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4" fontId="8" fillId="0" borderId="0" applyFont="0" applyFill="0" applyBorder="0" applyAlignment="0" applyProtection="0"/>
  </cellStyleXfs>
  <cellXfs count="96">
    <xf numFmtId="0" fontId="0" fillId="0" borderId="0" xfId="0"/>
    <xf numFmtId="14" fontId="0" fillId="0" borderId="0" xfId="0" applyNumberFormat="1"/>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3" xfId="0" applyFont="1" applyBorder="1" applyAlignment="1">
      <alignment horizontal="center" vertical="center" wrapText="1"/>
    </xf>
    <xf numFmtId="14" fontId="3" fillId="0" borderId="3"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1" fontId="3" fillId="0" borderId="3" xfId="0" applyNumberFormat="1" applyFont="1" applyBorder="1" applyAlignment="1">
      <alignment horizontal="center" vertical="center" wrapText="1"/>
    </xf>
    <xf numFmtId="1" fontId="0" fillId="0" borderId="0" xfId="0" applyNumberFormat="1"/>
    <xf numFmtId="0" fontId="0" fillId="0" borderId="3" xfId="0" applyBorder="1" applyAlignment="1">
      <alignment horizontal="center" vertical="center"/>
    </xf>
    <xf numFmtId="0" fontId="0" fillId="0" borderId="3" xfId="0" applyBorder="1" applyAlignment="1">
      <alignment horizontal="center"/>
    </xf>
    <xf numFmtId="2" fontId="0" fillId="0" borderId="3" xfId="0" applyNumberFormat="1" applyBorder="1" applyAlignment="1">
      <alignment horizontal="center"/>
    </xf>
    <xf numFmtId="4" fontId="0" fillId="0" borderId="3" xfId="0" applyNumberFormat="1" applyBorder="1" applyAlignment="1">
      <alignment horizontal="center"/>
    </xf>
    <xf numFmtId="164" fontId="0" fillId="0" borderId="3" xfId="0" applyNumberFormat="1" applyBorder="1" applyAlignment="1">
      <alignment horizontal="center"/>
    </xf>
    <xf numFmtId="0" fontId="1" fillId="3" borderId="3" xfId="0" applyFont="1" applyFill="1" applyBorder="1" applyAlignment="1">
      <alignment horizontal="center" vertical="center"/>
    </xf>
    <xf numFmtId="0" fontId="0" fillId="3" borderId="9" xfId="0" applyFill="1" applyBorder="1"/>
    <xf numFmtId="0" fontId="0" fillId="3" borderId="10" xfId="0" applyFill="1" applyBorder="1"/>
    <xf numFmtId="0" fontId="0" fillId="3" borderId="11" xfId="0" applyFill="1" applyBorder="1"/>
    <xf numFmtId="0" fontId="0" fillId="3" borderId="0" xfId="0" applyFill="1"/>
    <xf numFmtId="0" fontId="0" fillId="3" borderId="12" xfId="0" applyFill="1" applyBorder="1"/>
    <xf numFmtId="0" fontId="0" fillId="3" borderId="14" xfId="0" applyFill="1" applyBorder="1"/>
    <xf numFmtId="0" fontId="0" fillId="3" borderId="5" xfId="0" applyFill="1" applyBorder="1"/>
    <xf numFmtId="0" fontId="4" fillId="3" borderId="13" xfId="0" applyFont="1" applyFill="1" applyBorder="1" applyAlignment="1">
      <alignment horizontal="center"/>
    </xf>
    <xf numFmtId="0" fontId="4" fillId="3" borderId="6" xfId="0" applyFont="1" applyFill="1" applyBorder="1" applyAlignment="1">
      <alignment horizontal="center"/>
    </xf>
    <xf numFmtId="0" fontId="4" fillId="3" borderId="15" xfId="0" applyFont="1" applyFill="1" applyBorder="1" applyAlignment="1">
      <alignment horizontal="center"/>
    </xf>
    <xf numFmtId="0" fontId="0" fillId="3" borderId="16" xfId="0" applyFill="1" applyBorder="1"/>
    <xf numFmtId="0" fontId="0" fillId="3" borderId="7" xfId="0" applyFill="1" applyBorder="1"/>
    <xf numFmtId="0" fontId="0" fillId="3" borderId="17" xfId="0" applyFill="1" applyBorder="1"/>
    <xf numFmtId="0" fontId="1" fillId="3" borderId="8" xfId="0" applyFont="1" applyFill="1" applyBorder="1"/>
    <xf numFmtId="0" fontId="5" fillId="3" borderId="6" xfId="0" applyFont="1" applyFill="1" applyBorder="1" applyAlignment="1">
      <alignment horizontal="centerContinuous"/>
    </xf>
    <xf numFmtId="0" fontId="5" fillId="3" borderId="13" xfId="0" applyFont="1" applyFill="1" applyBorder="1" applyAlignment="1">
      <alignment horizontal="centerContinuous"/>
    </xf>
    <xf numFmtId="165" fontId="2" fillId="0" borderId="4"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0" fillId="0" borderId="0" xfId="0" applyNumberFormat="1"/>
    <xf numFmtId="165" fontId="2" fillId="0" borderId="1" xfId="0" applyNumberFormat="1" applyFont="1" applyBorder="1" applyAlignment="1">
      <alignment horizontal="center" vertical="center" wrapText="1"/>
    </xf>
    <xf numFmtId="0" fontId="6" fillId="0" borderId="0" xfId="0" applyFont="1" applyAlignment="1">
      <alignment vertical="center" wrapText="1"/>
    </xf>
    <xf numFmtId="14" fontId="0" fillId="0" borderId="3" xfId="0" applyNumberFormat="1" applyBorder="1" applyAlignment="1">
      <alignment horizontal="center" vertical="center"/>
    </xf>
    <xf numFmtId="165" fontId="0" fillId="0" borderId="3" xfId="0" applyNumberFormat="1" applyBorder="1" applyAlignment="1">
      <alignment horizontal="center" vertical="center"/>
    </xf>
    <xf numFmtId="0" fontId="1" fillId="0" borderId="11" xfId="0" applyFont="1" applyBorder="1" applyAlignment="1">
      <alignment horizontal="center" vertical="center"/>
    </xf>
    <xf numFmtId="0" fontId="1" fillId="6" borderId="3" xfId="0" applyFont="1" applyFill="1" applyBorder="1" applyAlignment="1">
      <alignment horizontal="center" vertical="center"/>
    </xf>
    <xf numFmtId="165" fontId="1" fillId="6" borderId="3" xfId="0" applyNumberFormat="1" applyFont="1" applyFill="1" applyBorder="1" applyAlignment="1">
      <alignment horizontal="center" vertical="center"/>
    </xf>
    <xf numFmtId="0" fontId="0" fillId="0" borderId="18" xfId="0" applyBorder="1" applyAlignment="1">
      <alignment horizontal="center" vertical="center"/>
    </xf>
    <xf numFmtId="10" fontId="0" fillId="0" borderId="0" xfId="0" applyNumberFormat="1"/>
    <xf numFmtId="0" fontId="7" fillId="0" borderId="0" xfId="0" applyFont="1" applyFill="1" applyBorder="1" applyAlignment="1"/>
    <xf numFmtId="0" fontId="6" fillId="0" borderId="0" xfId="0" applyFont="1" applyFill="1" applyBorder="1" applyAlignment="1">
      <alignment vertical="top" wrapText="1"/>
    </xf>
    <xf numFmtId="0" fontId="0" fillId="7" borderId="3" xfId="0" applyFill="1" applyBorder="1"/>
    <xf numFmtId="14" fontId="0" fillId="7" borderId="3" xfId="0" applyNumberFormat="1" applyFill="1" applyBorder="1"/>
    <xf numFmtId="22" fontId="0" fillId="7" borderId="3" xfId="0" applyNumberFormat="1" applyFill="1" applyBorder="1"/>
    <xf numFmtId="0" fontId="1" fillId="7" borderId="3" xfId="0" applyFont="1" applyFill="1" applyBorder="1"/>
    <xf numFmtId="0" fontId="1" fillId="4" borderId="3" xfId="0" applyFont="1" applyFill="1" applyBorder="1"/>
    <xf numFmtId="1" fontId="1" fillId="4" borderId="3" xfId="0" applyNumberFormat="1" applyFont="1" applyFill="1" applyBorder="1"/>
    <xf numFmtId="2" fontId="1" fillId="4" borderId="3" xfId="0" applyNumberFormat="1" applyFont="1" applyFill="1" applyBorder="1"/>
    <xf numFmtId="1" fontId="1" fillId="7" borderId="3" xfId="0" applyNumberFormat="1" applyFont="1" applyFill="1" applyBorder="1"/>
    <xf numFmtId="2" fontId="1" fillId="7" borderId="3" xfId="0" applyNumberFormat="1" applyFont="1" applyFill="1" applyBorder="1"/>
    <xf numFmtId="0" fontId="1" fillId="7" borderId="3" xfId="0" applyFont="1" applyFill="1" applyBorder="1" applyAlignment="1">
      <alignment horizontal="center" vertical="center"/>
    </xf>
    <xf numFmtId="14" fontId="1" fillId="7" borderId="3" xfId="0" applyNumberFormat="1" applyFont="1" applyFill="1" applyBorder="1" applyAlignment="1">
      <alignment horizontal="center" vertical="center"/>
    </xf>
    <xf numFmtId="1" fontId="1" fillId="7" borderId="3" xfId="0" applyNumberFormat="1" applyFont="1" applyFill="1" applyBorder="1" applyAlignment="1">
      <alignment horizontal="center" vertical="center"/>
    </xf>
    <xf numFmtId="165" fontId="1" fillId="7" borderId="3" xfId="0" applyNumberFormat="1" applyFont="1" applyFill="1" applyBorder="1" applyAlignment="1">
      <alignment horizontal="center" vertical="center"/>
    </xf>
    <xf numFmtId="0" fontId="0" fillId="0" borderId="3" xfId="0" applyBorder="1" applyAlignment="1">
      <alignment horizontal="center" vertical="center"/>
    </xf>
    <xf numFmtId="0" fontId="11" fillId="9" borderId="0" xfId="0" applyFont="1" applyFill="1"/>
    <xf numFmtId="0" fontId="0" fillId="11" borderId="0" xfId="0" applyFill="1"/>
    <xf numFmtId="166" fontId="0" fillId="10" borderId="0" xfId="0" applyNumberFormat="1" applyFill="1"/>
    <xf numFmtId="0" fontId="0" fillId="11" borderId="3" xfId="0" applyFill="1" applyBorder="1"/>
    <xf numFmtId="166" fontId="0" fillId="10" borderId="3" xfId="1" applyNumberFormat="1" applyFont="1" applyFill="1" applyBorder="1"/>
    <xf numFmtId="9" fontId="0" fillId="10" borderId="3" xfId="0" applyNumberFormat="1" applyFill="1" applyBorder="1"/>
    <xf numFmtId="166" fontId="0" fillId="10" borderId="3" xfId="0" applyNumberFormat="1" applyFill="1" applyBorder="1"/>
    <xf numFmtId="0" fontId="1" fillId="9" borderId="3" xfId="0" applyFont="1" applyFill="1" applyBorder="1" applyAlignment="1">
      <alignment horizontal="center" vertical="center"/>
    </xf>
    <xf numFmtId="0" fontId="1" fillId="12" borderId="3" xfId="0" applyFont="1" applyFill="1" applyBorder="1"/>
    <xf numFmtId="0" fontId="11" fillId="2" borderId="3" xfId="0" applyFont="1" applyFill="1" applyBorder="1" applyAlignment="1">
      <alignment horizontal="center" vertical="center"/>
    </xf>
    <xf numFmtId="0" fontId="0" fillId="0" borderId="3" xfId="0" applyBorder="1"/>
    <xf numFmtId="0" fontId="0" fillId="13" borderId="3" xfId="0" applyFill="1" applyBorder="1" applyAlignment="1">
      <alignment horizontal="center" vertical="center"/>
    </xf>
    <xf numFmtId="0" fontId="1" fillId="5" borderId="3" xfId="0" applyFont="1" applyFill="1" applyBorder="1" applyAlignment="1">
      <alignment horizontal="center" vertical="center"/>
    </xf>
    <xf numFmtId="0" fontId="0" fillId="14" borderId="3" xfId="0" applyFill="1" applyBorder="1" applyAlignment="1">
      <alignment horizontal="center" vertical="center"/>
    </xf>
    <xf numFmtId="0" fontId="1" fillId="8" borderId="3" xfId="0" applyFont="1" applyFill="1" applyBorder="1" applyAlignment="1">
      <alignment horizontal="center" vertical="center"/>
    </xf>
    <xf numFmtId="0" fontId="0" fillId="9" borderId="0" xfId="0" applyFill="1"/>
    <xf numFmtId="165" fontId="0" fillId="9" borderId="0" xfId="0" applyNumberFormat="1" applyFill="1"/>
    <xf numFmtId="10" fontId="0" fillId="9" borderId="0" xfId="0" applyNumberFormat="1" applyFill="1"/>
    <xf numFmtId="165" fontId="0" fillId="0" borderId="3" xfId="0" applyNumberFormat="1" applyBorder="1"/>
    <xf numFmtId="165" fontId="0" fillId="0" borderId="3" xfId="1" applyNumberFormat="1" applyFont="1" applyBorder="1"/>
    <xf numFmtId="1" fontId="0" fillId="0" borderId="3" xfId="0" applyNumberFormat="1" applyBorder="1"/>
    <xf numFmtId="0" fontId="6" fillId="8" borderId="11" xfId="0" applyFont="1" applyFill="1" applyBorder="1" applyAlignment="1">
      <alignment horizontal="center" vertical="top" wrapText="1"/>
    </xf>
    <xf numFmtId="0" fontId="6" fillId="8" borderId="0" xfId="0" applyFont="1" applyFill="1" applyBorder="1" applyAlignment="1">
      <alignment horizontal="center" vertical="top" wrapText="1"/>
    </xf>
    <xf numFmtId="0" fontId="7" fillId="2" borderId="11" xfId="0" applyFont="1" applyFill="1" applyBorder="1" applyAlignment="1">
      <alignment horizontal="center"/>
    </xf>
    <xf numFmtId="0" fontId="7" fillId="2" borderId="0" xfId="0" applyFont="1" applyFill="1" applyBorder="1" applyAlignment="1">
      <alignment horizontal="center"/>
    </xf>
    <xf numFmtId="0" fontId="1" fillId="5" borderId="0" xfId="0" applyFont="1" applyFill="1" applyAlignment="1">
      <alignment horizontal="center" vertical="center"/>
    </xf>
    <xf numFmtId="0" fontId="1" fillId="5" borderId="7" xfId="0" applyFont="1" applyFill="1" applyBorder="1" applyAlignment="1">
      <alignment horizontal="center" vertical="center"/>
    </xf>
    <xf numFmtId="0" fontId="10" fillId="9" borderId="0" xfId="0" applyFont="1" applyFill="1" applyAlignment="1">
      <alignment horizontal="center" vertical="center"/>
    </xf>
    <xf numFmtId="0" fontId="11" fillId="9" borderId="3" xfId="0" applyFont="1" applyFill="1" applyBorder="1" applyAlignment="1">
      <alignment horizontal="center" vertical="center"/>
    </xf>
    <xf numFmtId="0" fontId="0" fillId="0" borderId="3" xfId="0" applyBorder="1" applyAlignment="1">
      <alignment horizontal="center" vertical="center"/>
    </xf>
    <xf numFmtId="0" fontId="1" fillId="9" borderId="3" xfId="0" applyFont="1" applyFill="1" applyBorder="1" applyAlignment="1">
      <alignment horizontal="center" vertical="center"/>
    </xf>
    <xf numFmtId="0" fontId="1" fillId="3" borderId="3" xfId="0" applyFont="1" applyFill="1" applyBorder="1" applyAlignment="1">
      <alignment horizontal="center" vertical="center"/>
    </xf>
    <xf numFmtId="0" fontId="11" fillId="9" borderId="3" xfId="0" applyFont="1" applyFill="1" applyBorder="1" applyAlignment="1">
      <alignment horizontal="center"/>
    </xf>
    <xf numFmtId="0" fontId="9" fillId="9" borderId="0" xfId="0" applyFont="1" applyFill="1" applyAlignment="1">
      <alignment horizontal="center" vertical="center"/>
    </xf>
    <xf numFmtId="0" fontId="1" fillId="9" borderId="0" xfId="0" applyFont="1" applyFill="1" applyAlignment="1">
      <alignment horizontal="center"/>
    </xf>
    <xf numFmtId="0" fontId="11" fillId="9" borderId="0" xfId="0" applyFont="1" applyFill="1" applyAlignment="1">
      <alignment horizontal="center"/>
    </xf>
  </cellXfs>
  <cellStyles count="2">
    <cellStyle name="Currency" xfId="1" builtinId="4"/>
    <cellStyle name="Normal" xfId="0" builtinId="0"/>
  </cellStyles>
  <dxfs count="46">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ill>
        <patternFill patternType="solid">
          <bgColor rgb="FFC2A4C8"/>
        </patternFill>
      </fill>
    </dxf>
    <dxf>
      <font>
        <b val="0"/>
        <i val="0"/>
        <strike val="0"/>
        <condense val="0"/>
        <extend val="0"/>
        <outline val="0"/>
        <shadow val="0"/>
        <u val="none"/>
        <vertAlign val="baseline"/>
        <sz val="11"/>
        <color theme="1"/>
        <name val="Calibri"/>
        <scheme val="none"/>
      </font>
      <numFmt numFmtId="165" formatCode="[$$-409]#,##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65" formatCode="[$$-409]#,##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D642C1"/>
      <color rgb="FFC2A4C8"/>
      <color rgb="FFC2EAB4"/>
      <color rgb="FF4893D8"/>
      <color rgb="FF83B9EB"/>
      <color rgb="FF266CAC"/>
      <color rgb="FF1E802C"/>
      <color rgb="FFD87640"/>
      <color rgb="FF8389D7"/>
      <color rgb="FF9BC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[final_project.xlsx]Pivot_and_Charts!YearWise_TotalSales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Growth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Pivot_and_Charts!$C$3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Pivot_and_Charts!$A$4:$B$16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Pivot_and_Charts!$C$4:$C$16</c:f>
              <c:numCache>
                <c:formatCode>[$$-409]#,##0.00</c:formatCode>
                <c:ptCount val="12"/>
                <c:pt idx="0">
                  <c:v>25799.15</c:v>
                </c:pt>
                <c:pt idx="1">
                  <c:v>16069.38</c:v>
                </c:pt>
                <c:pt idx="2">
                  <c:v>19899.38</c:v>
                </c:pt>
                <c:pt idx="3">
                  <c:v>27899.160000000007</c:v>
                </c:pt>
                <c:pt idx="4">
                  <c:v>17039.349999999999</c:v>
                </c:pt>
                <c:pt idx="5">
                  <c:v>19299.45</c:v>
                </c:pt>
                <c:pt idx="6">
                  <c:v>18479.399999999998</c:v>
                </c:pt>
                <c:pt idx="7">
                  <c:v>15759.429999999998</c:v>
                </c:pt>
                <c:pt idx="8">
                  <c:v>12989.509999999998</c:v>
                </c:pt>
                <c:pt idx="9">
                  <c:v>20609.519999999997</c:v>
                </c:pt>
                <c:pt idx="10">
                  <c:v>12309.439999999999</c:v>
                </c:pt>
                <c:pt idx="11">
                  <c:v>23039.300000000003</c:v>
                </c:pt>
              </c:numCache>
            </c:numRef>
          </c:val>
          <c:smooth val="0"/>
          <c:extLst>
            <c:ext xmlns:c16="http://schemas.microsoft.com/office/drawing/2014/chart" uri="{C3380CC4-5D6E-409C-BE32-E72D297353CC}">
              <c16:uniqueId val="{00000000-A466-4CB1-A701-177CEF4F0537}"/>
            </c:ext>
          </c:extLst>
        </c:ser>
        <c:dLbls>
          <c:showLegendKey val="0"/>
          <c:showVal val="0"/>
          <c:showCatName val="0"/>
          <c:showSerName val="0"/>
          <c:showPercent val="0"/>
          <c:showBubbleSize val="0"/>
        </c:dLbls>
        <c:marker val="1"/>
        <c:smooth val="0"/>
        <c:axId val="1495879040"/>
        <c:axId val="1495874720"/>
      </c:lineChart>
      <c:catAx>
        <c:axId val="1495879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74720"/>
        <c:crosses val="autoZero"/>
        <c:auto val="1"/>
        <c:lblAlgn val="ctr"/>
        <c:lblOffset val="100"/>
        <c:noMultiLvlLbl val="0"/>
      </c:catAx>
      <c:valAx>
        <c:axId val="1495874720"/>
        <c:scaling>
          <c:orientation val="minMax"/>
        </c:scaling>
        <c:delete val="0"/>
        <c:axPos val="l"/>
        <c:majorGridlines>
          <c:spPr>
            <a:ln w="9525" cap="flat" cmpd="sng" algn="ctr">
              <a:solidFill>
                <a:srgbClr val="C2A4C8"/>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7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[final_project.xlsx]Pivot_and_Charts!CategoryWise_TotalSales</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65000"/>
            </a:schemeClr>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pivotFmt>
      <c:pivotFmt>
        <c:idx val="7"/>
        <c:spPr>
          <a:solidFill>
            <a:schemeClr val="accent4">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Pivot_and_Charts!$F$3</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482-40B6-B1A7-58AF78223520}"/>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482-40B6-B1A7-58AF78223520}"/>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482-40B6-B1A7-58AF782235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Pivot_and_Charts!$E$4:$E$7</c:f>
              <c:strCache>
                <c:ptCount val="3"/>
                <c:pt idx="0">
                  <c:v>Appliances</c:v>
                </c:pt>
                <c:pt idx="1">
                  <c:v>Electronics</c:v>
                </c:pt>
                <c:pt idx="2">
                  <c:v>Furniture</c:v>
                </c:pt>
              </c:strCache>
            </c:strRef>
          </c:cat>
          <c:val>
            <c:numRef>
              <c:f>Pivot_and_Charts!$F$4:$F$7</c:f>
              <c:numCache>
                <c:formatCode>[$$-409]#,##0.00</c:formatCode>
                <c:ptCount val="3"/>
                <c:pt idx="0">
                  <c:v>8338.739999999998</c:v>
                </c:pt>
                <c:pt idx="1">
                  <c:v>171756.05000000005</c:v>
                </c:pt>
                <c:pt idx="2">
                  <c:v>49097.680000000015</c:v>
                </c:pt>
              </c:numCache>
            </c:numRef>
          </c:val>
          <c:extLst>
            <c:ext xmlns:c16="http://schemas.microsoft.com/office/drawing/2014/chart" uri="{C3380CC4-5D6E-409C-BE32-E72D297353CC}">
              <c16:uniqueId val="{00000000-4175-4327-9E5A-58B3FDDD2F7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[final_project.xlsx]Pivot_and_Charts!RegionWise_TotalSales</c:name>
    <c:fmtId val="1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marker>
          <c:symbol val="none"/>
        </c:marker>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Pivot_and_Charts!$J$3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cat>
            <c:strRef>
              <c:f>Pivot_and_Charts!$I$4:$I$9</c:f>
              <c:strCache>
                <c:ptCount val="5"/>
                <c:pt idx="0">
                  <c:v>Central</c:v>
                </c:pt>
                <c:pt idx="1">
                  <c:v>East</c:v>
                </c:pt>
                <c:pt idx="2">
                  <c:v>North</c:v>
                </c:pt>
                <c:pt idx="3">
                  <c:v>South</c:v>
                </c:pt>
                <c:pt idx="4">
                  <c:v>West</c:v>
                </c:pt>
              </c:strCache>
            </c:strRef>
          </c:cat>
          <c:val>
            <c:numRef>
              <c:f>Pivot_and_Charts!$J$4:$J$9</c:f>
              <c:numCache>
                <c:formatCode>[$$-409]#,##0.00</c:formatCode>
                <c:ptCount val="5"/>
                <c:pt idx="0">
                  <c:v>41288.340000000004</c:v>
                </c:pt>
                <c:pt idx="1">
                  <c:v>59288.39</c:v>
                </c:pt>
                <c:pt idx="2">
                  <c:v>50808.310000000019</c:v>
                </c:pt>
                <c:pt idx="3">
                  <c:v>36398.75</c:v>
                </c:pt>
                <c:pt idx="4">
                  <c:v>41408.68</c:v>
                </c:pt>
              </c:numCache>
            </c:numRef>
          </c:val>
          <c:extLst>
            <c:ext xmlns:c16="http://schemas.microsoft.com/office/drawing/2014/chart" uri="{C3380CC4-5D6E-409C-BE32-E72D297353CC}">
              <c16:uniqueId val="{00000000-88A3-48B4-BC83-3833A0E54EBD}"/>
            </c:ext>
          </c:extLst>
        </c:ser>
        <c:dLbls>
          <c:showLegendKey val="0"/>
          <c:showVal val="0"/>
          <c:showCatName val="0"/>
          <c:showSerName val="0"/>
          <c:showPercent val="0"/>
          <c:showBubbleSize val="0"/>
        </c:dLbls>
        <c:gapWidth val="326"/>
        <c:overlap val="-58"/>
        <c:axId val="1642733760"/>
        <c:axId val="1642734720"/>
      </c:barChart>
      <c:catAx>
        <c:axId val="16427337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34720"/>
        <c:crosses val="autoZero"/>
        <c:auto val="1"/>
        <c:lblAlgn val="ctr"/>
        <c:lblOffset val="100"/>
        <c:noMultiLvlLbl val="0"/>
      </c:catAx>
      <c:valAx>
        <c:axId val="16427347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33760"/>
        <c:crosses val="autoZero"/>
        <c:crossBetween val="between"/>
      </c:valAx>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[final_project.xlsx]Pivot_and_Charts!SegmentWise_TotalSales</c:name>
    <c:fmtId val="21"/>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Pivot_and_Charts!$M$3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Pivot_and_Charts!$L$4:$L$7</c:f>
              <c:strCache>
                <c:ptCount val="3"/>
                <c:pt idx="0">
                  <c:v>Premium</c:v>
                </c:pt>
                <c:pt idx="1">
                  <c:v>Standard</c:v>
                </c:pt>
                <c:pt idx="2">
                  <c:v>Basic</c:v>
                </c:pt>
              </c:strCache>
            </c:strRef>
          </c:cat>
          <c:val>
            <c:numRef>
              <c:f>Pivot_and_Charts!$M$4:$M$7</c:f>
              <c:numCache>
                <c:formatCode>0.00%</c:formatCode>
                <c:ptCount val="3"/>
                <c:pt idx="0">
                  <c:v>0.36937129740780739</c:v>
                </c:pt>
                <c:pt idx="1">
                  <c:v>0.359337896223205</c:v>
                </c:pt>
                <c:pt idx="2">
                  <c:v>0.27129080636898756</c:v>
                </c:pt>
              </c:numCache>
            </c:numRef>
          </c:val>
          <c:extLst>
            <c:ext xmlns:c16="http://schemas.microsoft.com/office/drawing/2014/chart" uri="{C3380CC4-5D6E-409C-BE32-E72D297353CC}">
              <c16:uniqueId val="{00000000-D425-4144-A19B-ABACEE48A30D}"/>
            </c:ext>
          </c:extLst>
        </c:ser>
        <c:dLbls>
          <c:showLegendKey val="0"/>
          <c:showVal val="0"/>
          <c:showCatName val="0"/>
          <c:showSerName val="0"/>
          <c:showPercent val="0"/>
          <c:showBubbleSize val="0"/>
        </c:dLbls>
        <c:gapWidth val="355"/>
        <c:overlap val="-70"/>
        <c:axId val="1495881440"/>
        <c:axId val="1495883840"/>
      </c:barChart>
      <c:catAx>
        <c:axId val="14958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83840"/>
        <c:crosses val="autoZero"/>
        <c:auto val="1"/>
        <c:lblAlgn val="ctr"/>
        <c:lblOffset val="100"/>
        <c:noMultiLvlLbl val="0"/>
      </c:catAx>
      <c:valAx>
        <c:axId val="1495883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81440"/>
        <c:crosses val="autoZero"/>
        <c:crossBetween val="between"/>
      </c:valAx>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[final_project.xlsx]Pivot_and_Charts!PaymentMethod_CountTransaction</c:name>
    <c:fmtId val="2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Pivot_and_Charts!$P$3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Pivot_and_Charts!$O$4:$O$8</c:f>
              <c:strCache>
                <c:ptCount val="4"/>
                <c:pt idx="0">
                  <c:v>Cash</c:v>
                </c:pt>
                <c:pt idx="1">
                  <c:v>Credit Card</c:v>
                </c:pt>
                <c:pt idx="2">
                  <c:v>Debit Card</c:v>
                </c:pt>
                <c:pt idx="3">
                  <c:v>PayPal</c:v>
                </c:pt>
              </c:strCache>
            </c:strRef>
          </c:cat>
          <c:val>
            <c:numRef>
              <c:f>Pivot_and_Charts!$P$4:$P$8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887B-499B-8219-59918BD67AE0}"/>
            </c:ext>
          </c:extLst>
        </c:ser>
        <c:dLbls>
          <c:dLblPos val="inBase"/>
          <c:showLegendKey val="0"/>
          <c:showVal val="1"/>
          <c:showCatName val="0"/>
          <c:showSerName val="0"/>
          <c:showPercent val="0"/>
          <c:showBubbleSize val="0"/>
        </c:dLbls>
        <c:gapWidth val="355"/>
        <c:overlap val="-70"/>
        <c:axId val="274071055"/>
        <c:axId val="274076335"/>
      </c:barChart>
      <c:catAx>
        <c:axId val="27407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6335"/>
        <c:crosses val="autoZero"/>
        <c:auto val="1"/>
        <c:lblAlgn val="ctr"/>
        <c:lblOffset val="100"/>
        <c:noMultiLvlLbl val="0"/>
      </c:catAx>
      <c:valAx>
        <c:axId val="274076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71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2A4C8">
            <a:shade val="30000"/>
            <a:satMod val="115000"/>
          </a:srgbClr>
        </a:gs>
        <a:gs pos="50000">
          <a:srgbClr val="C2A4C8">
            <a:shade val="67500"/>
            <a:satMod val="115000"/>
          </a:srgbClr>
        </a:gs>
        <a:gs pos="100000">
          <a:srgbClr val="C2A4C8">
            <a:shade val="100000"/>
            <a:satMod val="115000"/>
          </a:srgb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[final_project.xlsx]Pivot_and_Charts!YearWise_TotalSales</c:name>
    <c:fmtId val="16"/>
  </c:pivotSource>
  <c:chart>
    <c:title>
      <c:tx>
        <c:rich>
          <a:bodyPr rot="0" spcFirstLastPara="1" vertOverflow="ellipsis" vert="horz" wrap="square" anchor="ctr" anchorCtr="1"/>
          <a:lstStyle/>
          <a:p>
            <a:pPr algn="ctr">
              <a:defRPr sz="1800" b="0" i="0" u="sng" strike="noStrike" kern="1200" cap="none" spc="0" baseline="0">
                <a:ln>
                  <a:noFill/>
                </a:ln>
                <a:solidFill>
                  <a:schemeClr val="tx1">
                    <a:alpha val="73000"/>
                  </a:schemeClr>
                </a:solidFill>
                <a:effectLst>
                  <a:outerShdw blurRad="38100" dist="19050" dir="2700000" algn="tl" rotWithShape="0">
                    <a:schemeClr val="dk1">
                      <a:alpha val="40000"/>
                    </a:schemeClr>
                  </a:outerShdw>
                </a:effectLst>
                <a:latin typeface="+mn-lt"/>
                <a:ea typeface="+mn-ea"/>
                <a:cs typeface="+mn-cs"/>
              </a:defRPr>
            </a:pPr>
            <a:r>
              <a:rPr lang="en-US" sz="1800" b="0" u="sng">
                <a:ln w="0">
                  <a:noFill/>
                </a:ln>
                <a:solidFill>
                  <a:schemeClr val="tx1">
                    <a:alpha val="73000"/>
                  </a:schemeClr>
                </a:solidFill>
                <a:latin typeface="+mn-lt"/>
              </a:rPr>
              <a:t>REVENUE GROWTH OVER TIME</a:t>
            </a:r>
          </a:p>
        </c:rich>
      </c:tx>
      <c:overlay val="0"/>
      <c:spPr>
        <a:noFill/>
        <a:ln>
          <a:noFill/>
        </a:ln>
        <a:effectLst/>
      </c:spPr>
      <c:txPr>
        <a:bodyPr rot="0" spcFirstLastPara="1" vertOverflow="ellipsis" vert="horz" wrap="square" anchor="ctr" anchorCtr="1"/>
        <a:lstStyle/>
        <a:p>
          <a:pPr algn="ctr">
            <a:defRPr sz="1800" b="0" i="0" u="sng" strike="noStrike" kern="1200" cap="none" spc="0" baseline="0">
              <a:ln>
                <a:noFill/>
              </a:ln>
              <a:solidFill>
                <a:schemeClr val="tx1">
                  <a:alpha val="73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dk1">
                      <a:lumMod val="65000"/>
                      <a:lumOff val="3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dk1">
                      <a:lumMod val="65000"/>
                      <a:lumOff val="3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C2A4C8"/>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rgbClr val="C2A4C8"/>
            </a:solidFill>
            <a:round/>
          </a:ln>
          <a:effectLst/>
        </c:spPr>
        <c:marker>
          <c:symbol val="circle"/>
          <c:size val="4"/>
          <c:spPr>
            <a:solidFill>
              <a:schemeClr val="accent4"/>
            </a:solidFill>
            <a:ln w="9525" cap="flat" cmpd="sng" algn="ctr">
              <a:solidFill>
                <a:schemeClr val="accent4"/>
              </a:solidFill>
              <a:round/>
            </a:ln>
            <a:effectLst/>
          </c:spPr>
        </c:marker>
        <c:dLbl>
          <c:idx val="0"/>
          <c:layout>
            <c:manualLayout>
              <c:x val="-3.043137254901963E-2"/>
              <c:y val="-5.1705555555555602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Pivot_and_Charts!$C$3</c:f>
              <c:strCache>
                <c:ptCount val="1"/>
                <c:pt idx="0">
                  <c:v>Total</c:v>
                </c:pt>
              </c:strCache>
            </c:strRef>
          </c:tx>
          <c:spPr>
            <a:ln w="22225" cap="rnd" cmpd="sng" algn="ctr">
              <a:solidFill>
                <a:srgbClr val="C2A4C8"/>
              </a:solidFill>
              <a:round/>
            </a:ln>
            <a:effectLst/>
          </c:spPr>
          <c:marker>
            <c:symbol val="circle"/>
            <c:size val="4"/>
            <c:spPr>
              <a:solidFill>
                <a:schemeClr val="accent4"/>
              </a:solidFill>
              <a:ln w="9525" cap="flat" cmpd="sng" algn="ctr">
                <a:solidFill>
                  <a:schemeClr val="accent4"/>
                </a:solidFill>
                <a:round/>
              </a:ln>
              <a:effectLst/>
            </c:spPr>
          </c:marker>
          <c:dPt>
            <c:idx val="0"/>
            <c:marker>
              <c:symbol val="circle"/>
              <c:size val="4"/>
              <c:spPr>
                <a:solidFill>
                  <a:schemeClr val="accent4"/>
                </a:solidFill>
                <a:ln w="9525" cap="flat" cmpd="sng" algn="ctr">
                  <a:solidFill>
                    <a:schemeClr val="accent4"/>
                  </a:solidFill>
                  <a:round/>
                </a:ln>
                <a:effectLst/>
              </c:spPr>
            </c:marker>
            <c:bubble3D val="0"/>
            <c:spPr>
              <a:ln w="22225" cap="rnd" cmpd="sng" algn="ctr">
                <a:solidFill>
                  <a:srgbClr val="C2A4C8"/>
                </a:solidFill>
                <a:round/>
              </a:ln>
              <a:effectLst/>
            </c:spPr>
            <c:extLst>
              <c:ext xmlns:c16="http://schemas.microsoft.com/office/drawing/2014/chart" uri="{C3380CC4-5D6E-409C-BE32-E72D297353CC}">
                <c16:uniqueId val="{00000002-CA09-427F-B8E8-A9C79E2C525D}"/>
              </c:ext>
            </c:extLst>
          </c:dPt>
          <c:dLbls>
            <c:dLbl>
              <c:idx val="0"/>
              <c:layout>
                <c:manualLayout>
                  <c:x val="-3.043137254901963E-2"/>
                  <c:y val="-5.17055555555556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09-427F-B8E8-A9C79E2C525D}"/>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Pivot_and_Charts!$A$4:$B$16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Pivot_and_Charts!$C$4:$C$16</c:f>
              <c:numCache>
                <c:formatCode>[$$-409]#,##0.00</c:formatCode>
                <c:ptCount val="12"/>
                <c:pt idx="0">
                  <c:v>25799.15</c:v>
                </c:pt>
                <c:pt idx="1">
                  <c:v>16069.38</c:v>
                </c:pt>
                <c:pt idx="2">
                  <c:v>19899.38</c:v>
                </c:pt>
                <c:pt idx="3">
                  <c:v>27899.160000000007</c:v>
                </c:pt>
                <c:pt idx="4">
                  <c:v>17039.349999999999</c:v>
                </c:pt>
                <c:pt idx="5">
                  <c:v>19299.45</c:v>
                </c:pt>
                <c:pt idx="6">
                  <c:v>18479.399999999998</c:v>
                </c:pt>
                <c:pt idx="7">
                  <c:v>15759.429999999998</c:v>
                </c:pt>
                <c:pt idx="8">
                  <c:v>12989.509999999998</c:v>
                </c:pt>
                <c:pt idx="9">
                  <c:v>20609.519999999997</c:v>
                </c:pt>
                <c:pt idx="10">
                  <c:v>12309.439999999999</c:v>
                </c:pt>
                <c:pt idx="11">
                  <c:v>23039.300000000003</c:v>
                </c:pt>
              </c:numCache>
            </c:numRef>
          </c:val>
          <c:smooth val="0"/>
          <c:extLst>
            <c:ext xmlns:c16="http://schemas.microsoft.com/office/drawing/2014/chart" uri="{C3380CC4-5D6E-409C-BE32-E72D297353CC}">
              <c16:uniqueId val="{00000000-CA09-427F-B8E8-A9C79E2C525D}"/>
            </c:ext>
          </c:extLst>
        </c:ser>
        <c:dLbls>
          <c:dLblPos val="t"/>
          <c:showLegendKey val="0"/>
          <c:showVal val="1"/>
          <c:showCatName val="0"/>
          <c:showSerName val="0"/>
          <c:showPercent val="0"/>
          <c:showBubbleSize val="0"/>
        </c:dLbls>
        <c:dropLines>
          <c:spPr>
            <a:ln w="9525" cap="flat" cmpd="sng" algn="ctr">
              <a:gradFill flip="none" rotWithShape="1">
                <a:gsLst>
                  <a:gs pos="0">
                    <a:schemeClr val="accent5">
                      <a:lumMod val="5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ound/>
            </a:ln>
            <a:effectLst/>
          </c:spPr>
        </c:dropLines>
        <c:marker val="1"/>
        <c:smooth val="0"/>
        <c:axId val="1495879040"/>
        <c:axId val="1495874720"/>
      </c:lineChart>
      <c:catAx>
        <c:axId val="14958790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5874720"/>
        <c:crosses val="autoZero"/>
        <c:auto val="1"/>
        <c:lblAlgn val="ctr"/>
        <c:lblOffset val="100"/>
        <c:noMultiLvlLbl val="0"/>
      </c:catAx>
      <c:valAx>
        <c:axId val="1495874720"/>
        <c:scaling>
          <c:orientation val="minMax"/>
        </c:scaling>
        <c:delete val="0"/>
        <c:axPos val="l"/>
        <c:numFmt formatCode="[$$-409]#,##0.00" sourceLinked="1"/>
        <c:majorTickMark val="cross"/>
        <c:minorTickMark val="none"/>
        <c:tickLblPos val="nextTo"/>
        <c:spPr>
          <a:noFill/>
          <a:ln>
            <a:solidFill>
              <a:srgbClr val="E8E8E8">
                <a:lumMod val="25000"/>
              </a:srgbClr>
            </a:soli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5879040"/>
        <c:crosses val="autoZero"/>
        <c:crossBetween val="between"/>
      </c:valAx>
      <c:spPr>
        <a:solidFill>
          <a:schemeClr val="bg1">
            <a:lumMod val="9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[final_project.xlsx]Pivot_and_Charts!SegmentWise_TotalSales</c:name>
    <c:fmtId val="27"/>
  </c:pivotSource>
  <c:chart>
    <c:title>
      <c:tx>
        <c:rich>
          <a:bodyPr rot="0" spcFirstLastPara="1" vertOverflow="ellipsis" vert="horz" wrap="square" anchor="ctr" anchorCtr="1"/>
          <a:lstStyle/>
          <a:p>
            <a:pPr>
              <a:defRPr sz="1800" b="0" i="0" u="sng" strike="noStrike" kern="1200" cap="all" spc="50" baseline="0">
                <a:solidFill>
                  <a:schemeClr val="tx1"/>
                </a:solidFill>
                <a:latin typeface="+mn-lt"/>
                <a:ea typeface="+mn-ea"/>
                <a:cs typeface="+mn-cs"/>
              </a:defRPr>
            </a:pPr>
            <a:r>
              <a:rPr lang="en-US" sz="1800" b="0" u="sng">
                <a:solidFill>
                  <a:schemeClr val="tx1"/>
                </a:solidFill>
              </a:rPr>
              <a:t>Revenue</a:t>
            </a:r>
            <a:r>
              <a:rPr lang="en-US" sz="1800" b="0" u="sng" baseline="0">
                <a:solidFill>
                  <a:schemeClr val="tx1"/>
                </a:solidFill>
              </a:rPr>
              <a:t> by Customer type</a:t>
            </a:r>
            <a:endParaRPr lang="en-US" sz="1800" b="0" u="sng">
              <a:solidFill>
                <a:schemeClr val="tx1"/>
              </a:solidFill>
            </a:endParaRPr>
          </a:p>
        </c:rich>
      </c:tx>
      <c:overlay val="0"/>
      <c:spPr>
        <a:noFill/>
        <a:ln>
          <a:noFill/>
        </a:ln>
        <a:effectLst/>
      </c:spPr>
      <c:txPr>
        <a:bodyPr rot="0" spcFirstLastPara="1" vertOverflow="ellipsis" vert="horz" wrap="square" anchor="ctr" anchorCtr="1"/>
        <a:lstStyle/>
        <a:p>
          <a:pPr>
            <a:defRPr sz="1800" b="0" i="0" u="sng"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2A4C8"/>
          </a:solidFill>
          <a:ln>
            <a:noFill/>
          </a:ln>
          <a:effectLst/>
        </c:spPr>
      </c:pivotFmt>
      <c:pivotFmt>
        <c:idx val="4"/>
        <c:spPr>
          <a:solidFill>
            <a:srgbClr val="C2A4C8"/>
          </a:solidFill>
          <a:ln>
            <a:noFill/>
          </a:ln>
          <a:effectLst/>
        </c:spPr>
      </c:pivotFmt>
      <c:pivotFmt>
        <c:idx val="5"/>
        <c:spPr>
          <a:solidFill>
            <a:srgbClr val="C2A4C8"/>
          </a:solidFill>
          <a:ln>
            <a:noFill/>
          </a:ln>
          <a:effectLst/>
        </c:spPr>
      </c:pivotFmt>
    </c:pivotFmts>
    <c:plotArea>
      <c:layout/>
      <c:barChart>
        <c:barDir val="col"/>
        <c:grouping val="clustered"/>
        <c:varyColors val="0"/>
        <c:ser>
          <c:idx val="0"/>
          <c:order val="0"/>
          <c:tx>
            <c:strRef>
              <c:f>Pivot_and_Charts!$M$3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0"/>
            <c:invertIfNegative val="0"/>
            <c:bubble3D val="0"/>
            <c:spPr>
              <a:solidFill>
                <a:srgbClr val="C2A4C8"/>
              </a:solidFill>
              <a:ln>
                <a:noFill/>
              </a:ln>
              <a:effectLst/>
            </c:spPr>
            <c:extLst>
              <c:ext xmlns:c16="http://schemas.microsoft.com/office/drawing/2014/chart" uri="{C3380CC4-5D6E-409C-BE32-E72D297353CC}">
                <c16:uniqueId val="{00000002-529E-48B5-A00B-A19CD2051A09}"/>
              </c:ext>
            </c:extLst>
          </c:dPt>
          <c:dPt>
            <c:idx val="1"/>
            <c:invertIfNegative val="0"/>
            <c:bubble3D val="0"/>
            <c:spPr>
              <a:solidFill>
                <a:srgbClr val="C2A4C8"/>
              </a:solidFill>
              <a:ln>
                <a:noFill/>
              </a:ln>
              <a:effectLst/>
            </c:spPr>
            <c:extLst>
              <c:ext xmlns:c16="http://schemas.microsoft.com/office/drawing/2014/chart" uri="{C3380CC4-5D6E-409C-BE32-E72D297353CC}">
                <c16:uniqueId val="{00000000-529E-48B5-A00B-A19CD2051A09}"/>
              </c:ext>
            </c:extLst>
          </c:dPt>
          <c:dPt>
            <c:idx val="2"/>
            <c:invertIfNegative val="0"/>
            <c:bubble3D val="0"/>
            <c:spPr>
              <a:solidFill>
                <a:srgbClr val="C2A4C8"/>
              </a:solidFill>
              <a:ln>
                <a:noFill/>
              </a:ln>
              <a:effectLst/>
            </c:spPr>
            <c:extLst>
              <c:ext xmlns:c16="http://schemas.microsoft.com/office/drawing/2014/chart" uri="{C3380CC4-5D6E-409C-BE32-E72D297353CC}">
                <c16:uniqueId val="{00000001-529E-48B5-A00B-A19CD2051A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Pivot_and_Charts!$L$4:$L$7</c:f>
              <c:strCache>
                <c:ptCount val="3"/>
                <c:pt idx="0">
                  <c:v>Premium</c:v>
                </c:pt>
                <c:pt idx="1">
                  <c:v>Standard</c:v>
                </c:pt>
                <c:pt idx="2">
                  <c:v>Basic</c:v>
                </c:pt>
              </c:strCache>
            </c:strRef>
          </c:cat>
          <c:val>
            <c:numRef>
              <c:f>Pivot_and_Charts!$M$4:$M$7</c:f>
              <c:numCache>
                <c:formatCode>0.00%</c:formatCode>
                <c:ptCount val="3"/>
                <c:pt idx="0">
                  <c:v>0.36937129740780739</c:v>
                </c:pt>
                <c:pt idx="1">
                  <c:v>0.359337896223205</c:v>
                </c:pt>
                <c:pt idx="2">
                  <c:v>0.27129080636898756</c:v>
                </c:pt>
              </c:numCache>
            </c:numRef>
          </c:val>
          <c:extLst>
            <c:ext xmlns:c16="http://schemas.microsoft.com/office/drawing/2014/chart" uri="{C3380CC4-5D6E-409C-BE32-E72D297353CC}">
              <c16:uniqueId val="{00000000-87B6-497F-BCF0-541E7874340C}"/>
            </c:ext>
          </c:extLst>
        </c:ser>
        <c:dLbls>
          <c:dLblPos val="outEnd"/>
          <c:showLegendKey val="0"/>
          <c:showVal val="1"/>
          <c:showCatName val="0"/>
          <c:showSerName val="0"/>
          <c:showPercent val="0"/>
          <c:showBubbleSize val="0"/>
        </c:dLbls>
        <c:gapWidth val="146"/>
        <c:overlap val="-70"/>
        <c:axId val="1495881440"/>
        <c:axId val="1495883840"/>
      </c:barChart>
      <c:catAx>
        <c:axId val="14958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95883840"/>
        <c:crosses val="autoZero"/>
        <c:auto val="1"/>
        <c:lblAlgn val="ctr"/>
        <c:lblOffset val="100"/>
        <c:noMultiLvlLbl val="0"/>
      </c:catAx>
      <c:valAx>
        <c:axId val="1495883840"/>
        <c:scaling>
          <c:orientation val="minMax"/>
        </c:scaling>
        <c:delete val="0"/>
        <c:axPos val="l"/>
        <c:majorGridlines>
          <c:spPr>
            <a:ln w="3175" cap="flat" cmpd="sng" algn="ctr">
              <a:solidFill>
                <a:schemeClr val="dk1">
                  <a:alpha val="38000"/>
                </a:schemeClr>
              </a:solidFill>
              <a:prstDash val="solid"/>
              <a:miter lim="800000"/>
            </a:ln>
            <a:effectLst/>
          </c:spPr>
        </c:majorGridlines>
        <c:numFmt formatCode="0.00%" sourceLinked="1"/>
        <c:majorTickMark val="cross"/>
        <c:minorTickMark val="none"/>
        <c:tickLblPos val="nextTo"/>
        <c:spPr>
          <a:noFill/>
          <a:ln>
            <a:solidFill>
              <a:schemeClr val="dk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95881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b="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[final_project.xlsx]Pivot_and_Charts!CategoryWise_TotalSales</c:name>
    <c:fmtId val="19"/>
  </c:pivotSource>
  <c:chart>
    <c:title>
      <c:tx>
        <c:rich>
          <a:bodyPr rot="0" spcFirstLastPara="1" vertOverflow="ellipsis" vert="horz" wrap="square" anchor="ctr" anchorCtr="1"/>
          <a:lstStyle/>
          <a:p>
            <a:pPr>
              <a:defRPr sz="1600" b="0" i="0" u="sng" strike="noStrike" kern="1200" cap="all" spc="50" baseline="0">
                <a:solidFill>
                  <a:schemeClr val="tx1"/>
                </a:solidFill>
                <a:latin typeface="+mn-lt"/>
                <a:ea typeface="+mn-ea"/>
                <a:cs typeface="+mn-cs"/>
              </a:defRPr>
            </a:pPr>
            <a:r>
              <a:rPr lang="en-US" sz="1600" b="0" u="sng">
                <a:solidFill>
                  <a:schemeClr val="tx1"/>
                </a:solidFill>
              </a:rPr>
              <a:t>Sales by Category</a:t>
            </a:r>
          </a:p>
        </c:rich>
      </c:tx>
      <c:overlay val="0"/>
      <c:spPr>
        <a:noFill/>
        <a:ln>
          <a:noFill/>
        </a:ln>
        <a:effectLst/>
      </c:spPr>
      <c:txPr>
        <a:bodyPr rot="0" spcFirstLastPara="1" vertOverflow="ellipsis" vert="horz" wrap="square" anchor="ctr" anchorCtr="1"/>
        <a:lstStyle/>
        <a:p>
          <a:pPr>
            <a:defRPr sz="1600" b="0" i="0" u="sng"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5">
              <a:lumMod val="20000"/>
              <a:lumOff val="8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685262889818941"/>
              <c:y val="-5.4121316980456684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480685210080967"/>
              <c:y val="5.4121316980456746E-2"/>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9272919366091898"/>
              <c:y val="1.5791856925418568E-2"/>
            </c:manualLayout>
          </c:layout>
          <c:spPr>
            <a:solidFill>
              <a:sysClr val="window" lastClr="FFFFFF">
                <a:lumMod val="95000"/>
              </a:sysClr>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Pivot_and_Charts!$F$3</c:f>
              <c:strCache>
                <c:ptCount val="1"/>
                <c:pt idx="0">
                  <c:v>Total</c:v>
                </c:pt>
              </c:strCache>
            </c:strRef>
          </c:tx>
          <c:spPr>
            <a:solidFill>
              <a:schemeClr val="accent5">
                <a:lumMod val="75000"/>
              </a:schemeClr>
            </a:solidFill>
          </c:spPr>
          <c:dPt>
            <c:idx val="0"/>
            <c:bubble3D val="0"/>
            <c:spPr>
              <a:solidFill>
                <a:schemeClr val="accent5">
                  <a:lumMod val="20000"/>
                  <a:lumOff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9D-4630-A2D8-36E77CE0F19F}"/>
              </c:ext>
            </c:extLst>
          </c:dPt>
          <c:dPt>
            <c:idx val="1"/>
            <c:bubble3D val="0"/>
            <c:spPr>
              <a:solidFill>
                <a:schemeClr val="accent5">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69D-4630-A2D8-36E77CE0F19F}"/>
              </c:ext>
            </c:extLst>
          </c:dPt>
          <c:dPt>
            <c:idx val="2"/>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69D-4630-A2D8-36E77CE0F19F}"/>
              </c:ext>
            </c:extLst>
          </c:dPt>
          <c:dLbls>
            <c:dLbl>
              <c:idx val="0"/>
              <c:layout>
                <c:manualLayout>
                  <c:x val="0.19685262889818941"/>
                  <c:y val="-5.412131698045668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9D-4630-A2D8-36E77CE0F19F}"/>
                </c:ext>
              </c:extLst>
            </c:dLbl>
            <c:dLbl>
              <c:idx val="1"/>
              <c:layout>
                <c:manualLayout>
                  <c:x val="0.16480685210080967"/>
                  <c:y val="5.4121316980456746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9D-4630-A2D8-36E77CE0F19F}"/>
                </c:ext>
              </c:extLst>
            </c:dLbl>
            <c:dLbl>
              <c:idx val="2"/>
              <c:layout>
                <c:manualLayout>
                  <c:x val="-0.29272919366091898"/>
                  <c:y val="1.5791856925418568E-2"/>
                </c:manualLayout>
              </c:layout>
              <c:spPr>
                <a:solidFill>
                  <a:sysClr val="window" lastClr="FFFFFF">
                    <a:lumMod val="95000"/>
                  </a:sysClr>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69D-4630-A2D8-36E77CE0F19F}"/>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Pivot_and_Charts!$E$4:$E$7</c:f>
              <c:strCache>
                <c:ptCount val="3"/>
                <c:pt idx="0">
                  <c:v>Appliances</c:v>
                </c:pt>
                <c:pt idx="1">
                  <c:v>Electronics</c:v>
                </c:pt>
                <c:pt idx="2">
                  <c:v>Furniture</c:v>
                </c:pt>
              </c:strCache>
            </c:strRef>
          </c:cat>
          <c:val>
            <c:numRef>
              <c:f>Pivot_and_Charts!$F$4:$F$7</c:f>
              <c:numCache>
                <c:formatCode>[$$-409]#,##0.00</c:formatCode>
                <c:ptCount val="3"/>
                <c:pt idx="0">
                  <c:v>8338.739999999998</c:v>
                </c:pt>
                <c:pt idx="1">
                  <c:v>171756.05000000005</c:v>
                </c:pt>
                <c:pt idx="2">
                  <c:v>49097.680000000015</c:v>
                </c:pt>
              </c:numCache>
            </c:numRef>
          </c:val>
          <c:extLst>
            <c:ext xmlns:c16="http://schemas.microsoft.com/office/drawing/2014/chart" uri="{C3380CC4-5D6E-409C-BE32-E72D297353CC}">
              <c16:uniqueId val="{00000006-C69D-4630-A2D8-36E77CE0F19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dir="5400000" algn="t"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[final_project.xlsx]Pivot_and_Charts!RegionWise_TotalSales</c:name>
    <c:fmtId val="2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PERFORMANCE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rgbClr val="C2A4C8"/>
          </a:solidFill>
          <a:ln>
            <a:noFill/>
          </a:ln>
          <a:effectLst/>
        </c:spPr>
      </c:pivotFmt>
      <c:pivotFmt>
        <c:idx val="5"/>
        <c:spPr>
          <a:solidFill>
            <a:srgbClr val="C2A4C8"/>
          </a:solidFill>
          <a:ln>
            <a:noFill/>
          </a:ln>
          <a:effectLst/>
        </c:spPr>
      </c:pivotFmt>
      <c:pivotFmt>
        <c:idx val="6"/>
        <c:spPr>
          <a:solidFill>
            <a:srgbClr val="C2A4C8"/>
          </a:solidFill>
          <a:ln>
            <a:noFill/>
          </a:ln>
          <a:effectLst/>
        </c:spPr>
      </c:pivotFmt>
      <c:pivotFmt>
        <c:idx val="7"/>
        <c:spPr>
          <a:solidFill>
            <a:srgbClr val="C2A4C8"/>
          </a:solidFill>
          <a:ln>
            <a:noFill/>
          </a:ln>
          <a:effectLst/>
        </c:spPr>
      </c:pivotFmt>
      <c:pivotFmt>
        <c:idx val="8"/>
        <c:spPr>
          <a:solidFill>
            <a:srgbClr val="C2A4C8"/>
          </a:solidFill>
          <a:ln>
            <a:noFill/>
          </a:ln>
          <a:effectLst/>
        </c:spPr>
      </c:pivotFmt>
      <c:pivotFmt>
        <c:idx val="9"/>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Pivot_and_Charts!$J$3</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Pt>
            <c:idx val="0"/>
            <c:invertIfNegative val="0"/>
            <c:bubble3D val="0"/>
            <c:spPr>
              <a:solidFill>
                <a:srgbClr val="C2A4C8"/>
              </a:solidFill>
              <a:ln>
                <a:noFill/>
              </a:ln>
              <a:effectLst/>
            </c:spPr>
            <c:extLst>
              <c:ext xmlns:c16="http://schemas.microsoft.com/office/drawing/2014/chart" uri="{C3380CC4-5D6E-409C-BE32-E72D297353CC}">
                <c16:uniqueId val="{00000004-C10D-40D2-8140-D4466FBC60F7}"/>
              </c:ext>
            </c:extLst>
          </c:dPt>
          <c:dPt>
            <c:idx val="1"/>
            <c:invertIfNegative val="0"/>
            <c:bubble3D val="0"/>
            <c:spPr>
              <a:solidFill>
                <a:srgbClr val="C2A4C8"/>
              </a:solidFill>
              <a:ln>
                <a:noFill/>
              </a:ln>
              <a:effectLst/>
            </c:spPr>
            <c:extLst>
              <c:ext xmlns:c16="http://schemas.microsoft.com/office/drawing/2014/chart" uri="{C3380CC4-5D6E-409C-BE32-E72D297353CC}">
                <c16:uniqueId val="{00000000-C10D-40D2-8140-D4466FBC60F7}"/>
              </c:ext>
            </c:extLst>
          </c:dPt>
          <c:dPt>
            <c:idx val="2"/>
            <c:invertIfNegative val="0"/>
            <c:bubble3D val="0"/>
            <c:spPr>
              <a:solidFill>
                <a:srgbClr val="C2A4C8"/>
              </a:solidFill>
              <a:ln>
                <a:noFill/>
              </a:ln>
              <a:effectLst/>
            </c:spPr>
            <c:extLst>
              <c:ext xmlns:c16="http://schemas.microsoft.com/office/drawing/2014/chart" uri="{C3380CC4-5D6E-409C-BE32-E72D297353CC}">
                <c16:uniqueId val="{00000001-C10D-40D2-8140-D4466FBC60F7}"/>
              </c:ext>
            </c:extLst>
          </c:dPt>
          <c:dPt>
            <c:idx val="3"/>
            <c:invertIfNegative val="0"/>
            <c:bubble3D val="0"/>
            <c:spPr>
              <a:solidFill>
                <a:srgbClr val="C2A4C8"/>
              </a:solidFill>
              <a:ln>
                <a:noFill/>
              </a:ln>
              <a:effectLst/>
            </c:spPr>
            <c:extLst>
              <c:ext xmlns:c16="http://schemas.microsoft.com/office/drawing/2014/chart" uri="{C3380CC4-5D6E-409C-BE32-E72D297353CC}">
                <c16:uniqueId val="{00000002-C10D-40D2-8140-D4466FBC60F7}"/>
              </c:ext>
            </c:extLst>
          </c:dPt>
          <c:dPt>
            <c:idx val="4"/>
            <c:invertIfNegative val="0"/>
            <c:bubble3D val="0"/>
            <c:spPr>
              <a:solidFill>
                <a:srgbClr val="C2A4C8"/>
              </a:solidFill>
              <a:ln>
                <a:noFill/>
              </a:ln>
              <a:effectLst/>
            </c:spPr>
            <c:extLst>
              <c:ext xmlns:c16="http://schemas.microsoft.com/office/drawing/2014/chart" uri="{C3380CC4-5D6E-409C-BE32-E72D297353CC}">
                <c16:uniqueId val="{00000003-C10D-40D2-8140-D4466FBC60F7}"/>
              </c:ext>
            </c:extLst>
          </c:dPt>
          <c:dLbls>
            <c:delete val="1"/>
          </c:dLbls>
          <c:cat>
            <c:strRef>
              <c:f>Pivot_and_Charts!$I$4:$I$9</c:f>
              <c:strCache>
                <c:ptCount val="5"/>
                <c:pt idx="0">
                  <c:v>Central</c:v>
                </c:pt>
                <c:pt idx="1">
                  <c:v>East</c:v>
                </c:pt>
                <c:pt idx="2">
                  <c:v>North</c:v>
                </c:pt>
                <c:pt idx="3">
                  <c:v>South</c:v>
                </c:pt>
                <c:pt idx="4">
                  <c:v>West</c:v>
                </c:pt>
              </c:strCache>
            </c:strRef>
          </c:cat>
          <c:val>
            <c:numRef>
              <c:f>Pivot_and_Charts!$J$4:$J$9</c:f>
              <c:numCache>
                <c:formatCode>[$$-409]#,##0.00</c:formatCode>
                <c:ptCount val="5"/>
                <c:pt idx="0">
                  <c:v>41288.340000000004</c:v>
                </c:pt>
                <c:pt idx="1">
                  <c:v>59288.39</c:v>
                </c:pt>
                <c:pt idx="2">
                  <c:v>50808.310000000019</c:v>
                </c:pt>
                <c:pt idx="3">
                  <c:v>36398.75</c:v>
                </c:pt>
                <c:pt idx="4">
                  <c:v>41408.68</c:v>
                </c:pt>
              </c:numCache>
            </c:numRef>
          </c:val>
          <c:extLst>
            <c:ext xmlns:c16="http://schemas.microsoft.com/office/drawing/2014/chart" uri="{C3380CC4-5D6E-409C-BE32-E72D297353CC}">
              <c16:uniqueId val="{00000000-BE42-4057-AA5C-4ED3004CB209}"/>
            </c:ext>
          </c:extLst>
        </c:ser>
        <c:dLbls>
          <c:dLblPos val="outEnd"/>
          <c:showLegendKey val="0"/>
          <c:showVal val="1"/>
          <c:showCatName val="0"/>
          <c:showSerName val="0"/>
          <c:showPercent val="0"/>
          <c:showBubbleSize val="0"/>
        </c:dLbls>
        <c:gapWidth val="326"/>
        <c:overlap val="-58"/>
        <c:axId val="1642733760"/>
        <c:axId val="1642734720"/>
      </c:barChart>
      <c:catAx>
        <c:axId val="16427337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34720"/>
        <c:crosses val="autoZero"/>
        <c:auto val="1"/>
        <c:lblAlgn val="ctr"/>
        <c:lblOffset val="100"/>
        <c:noMultiLvlLbl val="0"/>
      </c:catAx>
      <c:valAx>
        <c:axId val="16427347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33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74449</xdr:rowOff>
    </xdr:from>
    <xdr:to>
      <xdr:col>5</xdr:col>
      <xdr:colOff>350892</xdr:colOff>
      <xdr:row>45</xdr:row>
      <xdr:rowOff>61310</xdr:rowOff>
    </xdr:to>
    <xdr:graphicFrame macro="">
      <xdr:nvGraphicFramePr>
        <xdr:cNvPr id="2" name="Chart 1">
          <a:extLst>
            <a:ext uri="{FF2B5EF4-FFF2-40B4-BE49-F238E27FC236}">
              <a16:creationId xmlns:a16="http://schemas.microsoft.com/office/drawing/2014/main" id="{6FCE3889-255C-3106-75BA-665A156D3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516115</xdr:colOff>
      <xdr:row>23</xdr:row>
      <xdr:rowOff>79343</xdr:rowOff>
    </xdr:from>
    <xdr:to>
      <xdr:col>9</xdr:col>
      <xdr:colOff>751721</xdr:colOff>
      <xdr:row>38</xdr:row>
      <xdr:rowOff>136274</xdr:rowOff>
    </xdr:to>
    <xdr:graphicFrame macro="">
      <xdr:nvGraphicFramePr>
        <xdr:cNvPr id="3" name="Chart 2">
          <a:extLst>
            <a:ext uri="{FF2B5EF4-FFF2-40B4-BE49-F238E27FC236}">
              <a16:creationId xmlns:a16="http://schemas.microsoft.com/office/drawing/2014/main" id="{21CB53A1-78A6-87BC-81D6-ACFE6C170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1116987</xdr:colOff>
      <xdr:row>22</xdr:row>
      <xdr:rowOff>95688</xdr:rowOff>
    </xdr:from>
    <xdr:to>
      <xdr:col>14</xdr:col>
      <xdr:colOff>457420</xdr:colOff>
      <xdr:row>37</xdr:row>
      <xdr:rowOff>95688</xdr:rowOff>
    </xdr:to>
    <xdr:graphicFrame macro="">
      <xdr:nvGraphicFramePr>
        <xdr:cNvPr id="4" name="Chart 3">
          <a:extLst>
            <a:ext uri="{FF2B5EF4-FFF2-40B4-BE49-F238E27FC236}">
              <a16:creationId xmlns:a16="http://schemas.microsoft.com/office/drawing/2014/main" id="{6151FEB7-5362-4879-9593-8504BC231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836974</xdr:colOff>
      <xdr:row>24</xdr:row>
      <xdr:rowOff>110578</xdr:rowOff>
    </xdr:from>
    <xdr:to>
      <xdr:col>18</xdr:col>
      <xdr:colOff>21634</xdr:colOff>
      <xdr:row>39</xdr:row>
      <xdr:rowOff>110580</xdr:rowOff>
    </xdr:to>
    <xdr:graphicFrame macro="">
      <xdr:nvGraphicFramePr>
        <xdr:cNvPr id="5" name="Chart 4">
          <a:extLst>
            <a:ext uri="{FF2B5EF4-FFF2-40B4-BE49-F238E27FC236}">
              <a16:creationId xmlns:a16="http://schemas.microsoft.com/office/drawing/2014/main" id="{2F218DDE-40D5-2AE3-A080-33215DCD7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447915</xdr:colOff>
      <xdr:row>4</xdr:row>
      <xdr:rowOff>170836</xdr:rowOff>
    </xdr:from>
    <xdr:to>
      <xdr:col>19</xdr:col>
      <xdr:colOff>111409</xdr:colOff>
      <xdr:row>19</xdr:row>
      <xdr:rowOff>170837</xdr:rowOff>
    </xdr:to>
    <xdr:graphicFrame macro="">
      <xdr:nvGraphicFramePr>
        <xdr:cNvPr id="6" name="Chart 5">
          <a:extLst>
            <a:ext uri="{FF2B5EF4-FFF2-40B4-BE49-F238E27FC236}">
              <a16:creationId xmlns:a16="http://schemas.microsoft.com/office/drawing/2014/main" id="{BB8A4AAA-C9AF-B6C9-5E9B-42B0E7DFD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895909</xdr:colOff>
      <xdr:row>10</xdr:row>
      <xdr:rowOff>110402</xdr:rowOff>
    </xdr:from>
    <xdr:to>
      <xdr:col>7</xdr:col>
      <xdr:colOff>145106</xdr:colOff>
      <xdr:row>17</xdr:row>
      <xdr:rowOff>63287</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CA3416E-4D5A-8242-1184-7DEAA7820B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97030" y="1862126"/>
              <a:ext cx="2019110" cy="1179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353328</xdr:colOff>
      <xdr:row>10</xdr:row>
      <xdr:rowOff>9437</xdr:rowOff>
    </xdr:from>
    <xdr:to>
      <xdr:col>15</xdr:col>
      <xdr:colOff>1517971</xdr:colOff>
      <xdr:row>17</xdr:row>
      <xdr:rowOff>173875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220AB563-0044-C79E-4F07-E9C8FA1C8AB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6075052" y="1761161"/>
              <a:ext cx="2051453" cy="1390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474427</xdr:colOff>
      <xdr:row>9</xdr:row>
      <xdr:rowOff>15982</xdr:rowOff>
    </xdr:from>
    <xdr:to>
      <xdr:col>12</xdr:col>
      <xdr:colOff>1452159</xdr:colOff>
      <xdr:row>15</xdr:row>
      <xdr:rowOff>141249</xdr:rowOff>
    </xdr:to>
    <mc:AlternateContent xmlns:mc="http://schemas.openxmlformats.org/markup-compatibility/2006" xmlns:a14="http://schemas.microsoft.com/office/drawing/2010/main">
      <mc:Choice Requires="a14">
        <xdr:graphicFrame macro="">
          <xdr:nvGraphicFramePr>
            <xdr:cNvPr id="11" name="Customer_Segment">
              <a:extLst>
                <a:ext uri="{FF2B5EF4-FFF2-40B4-BE49-F238E27FC236}">
                  <a16:creationId xmlns:a16="http://schemas.microsoft.com/office/drawing/2014/main" id="{471870BF-62F6-CE03-1C78-CD90FC86C8A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714599" y="1592534"/>
              <a:ext cx="1820750" cy="11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218058</xdr:colOff>
      <xdr:row>11</xdr:row>
      <xdr:rowOff>24120</xdr:rowOff>
    </xdr:from>
    <xdr:to>
      <xdr:col>9</xdr:col>
      <xdr:colOff>1418951</xdr:colOff>
      <xdr:row>20</xdr:row>
      <xdr:rowOff>88942</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6E46204-6417-EC05-E43F-1FE186805C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45989" y="1951017"/>
              <a:ext cx="2011065" cy="1641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1389268</xdr:colOff>
      <xdr:row>8</xdr:row>
      <xdr:rowOff>169985</xdr:rowOff>
    </xdr:from>
    <xdr:to>
      <xdr:col>5</xdr:col>
      <xdr:colOff>740475</xdr:colOff>
      <xdr:row>22</xdr:row>
      <xdr:rowOff>84259</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BC633B4A-4404-4D87-D1C4-0CF56433864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673751" y="1571364"/>
              <a:ext cx="1967845" cy="2366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749869</xdr:colOff>
      <xdr:row>17</xdr:row>
      <xdr:rowOff>63762</xdr:rowOff>
    </xdr:from>
    <xdr:to>
      <xdr:col>2</xdr:col>
      <xdr:colOff>889350</xdr:colOff>
      <xdr:row>25</xdr:row>
      <xdr:rowOff>61858</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FD12F716-6C8D-834A-67DD-0BBAD962ECA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749869" y="3041693"/>
              <a:ext cx="1978791" cy="1399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420077</xdr:colOff>
      <xdr:row>4</xdr:row>
      <xdr:rowOff>136541</xdr:rowOff>
    </xdr:from>
    <xdr:to>
      <xdr:col>7</xdr:col>
      <xdr:colOff>62799</xdr:colOff>
      <xdr:row>10</xdr:row>
      <xdr:rowOff>48846</xdr:rowOff>
    </xdr:to>
    <xdr:sp macro="" textlink="'KPI''s'!B4">
      <xdr:nvSpPr>
        <xdr:cNvPr id="12" name="Rectangle: Rounded Corners 11">
          <a:extLst>
            <a:ext uri="{FF2B5EF4-FFF2-40B4-BE49-F238E27FC236}">
              <a16:creationId xmlns:a16="http://schemas.microsoft.com/office/drawing/2014/main" id="{295D9F66-5D7B-46FB-A3A8-D89797374468}"/>
            </a:ext>
          </a:extLst>
        </xdr:cNvPr>
        <xdr:cNvSpPr/>
      </xdr:nvSpPr>
      <xdr:spPr>
        <a:xfrm>
          <a:off x="2413000" y="839926"/>
          <a:ext cx="2299953" cy="967382"/>
        </a:xfrm>
        <a:prstGeom prst="roundRect">
          <a:avLst/>
        </a:prstGeom>
        <a:solidFill>
          <a:srgbClr val="C2A4C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BE8D8A-9F83-41DF-8BDD-AB1801739CE4}" type="TxLink">
            <a:rPr lang="en-US" sz="1600" b="0" i="0" u="none" strike="noStrike">
              <a:solidFill>
                <a:schemeClr val="tx1">
                  <a:lumMod val="85000"/>
                  <a:lumOff val="15000"/>
                </a:schemeClr>
              </a:solidFill>
              <a:latin typeface="Aptos Narrow"/>
            </a:rPr>
            <a:pPr algn="ctr"/>
            <a:t>$2,29,192.47</a:t>
          </a:fld>
          <a:endParaRPr lang="en-IN" sz="1600" b="0">
            <a:solidFill>
              <a:schemeClr val="tx1">
                <a:lumMod val="85000"/>
                <a:lumOff val="15000"/>
              </a:schemeClr>
            </a:solidFill>
          </a:endParaRPr>
        </a:p>
      </xdr:txBody>
    </xdr:sp>
    <xdr:clientData/>
  </xdr:twoCellAnchor>
  <xdr:twoCellAnchor>
    <xdr:from>
      <xdr:col>18</xdr:col>
      <xdr:colOff>581718</xdr:colOff>
      <xdr:row>4</xdr:row>
      <xdr:rowOff>175652</xdr:rowOff>
    </xdr:from>
    <xdr:to>
      <xdr:col>21</xdr:col>
      <xdr:colOff>552917</xdr:colOff>
      <xdr:row>10</xdr:row>
      <xdr:rowOff>35887</xdr:rowOff>
    </xdr:to>
    <xdr:sp macro="" textlink="'KPI''s'!B8">
      <xdr:nvSpPr>
        <xdr:cNvPr id="13" name="Rectangle: Rounded Corners 12">
          <a:extLst>
            <a:ext uri="{FF2B5EF4-FFF2-40B4-BE49-F238E27FC236}">
              <a16:creationId xmlns:a16="http://schemas.microsoft.com/office/drawing/2014/main" id="{16B4E5F4-3D75-4E45-BC93-CB6D3A8EF8B7}"/>
            </a:ext>
          </a:extLst>
        </xdr:cNvPr>
        <xdr:cNvSpPr/>
      </xdr:nvSpPr>
      <xdr:spPr>
        <a:xfrm>
          <a:off x="12539256" y="879037"/>
          <a:ext cx="1964123" cy="915312"/>
        </a:xfrm>
        <a:prstGeom prst="roundRect">
          <a:avLst/>
        </a:prstGeom>
        <a:solidFill>
          <a:schemeClr val="accent2">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9F111E-F5D5-41FE-BC04-658F339CEAEE}" type="TxLink">
            <a:rPr lang="en-US" sz="1600" b="0" i="0" u="none" strike="noStrike">
              <a:solidFill>
                <a:srgbClr val="000000"/>
              </a:solidFill>
              <a:latin typeface="Aptos Narrow"/>
            </a:rPr>
            <a:pPr algn="ctr"/>
            <a:t>753</a:t>
          </a:fld>
          <a:endParaRPr lang="en-IN" sz="1600"/>
        </a:p>
      </xdr:txBody>
    </xdr:sp>
    <xdr:clientData/>
  </xdr:twoCellAnchor>
  <xdr:twoCellAnchor>
    <xdr:from>
      <xdr:col>15</xdr:col>
      <xdr:colOff>462459</xdr:colOff>
      <xdr:row>5</xdr:row>
      <xdr:rowOff>9584</xdr:rowOff>
    </xdr:from>
    <xdr:to>
      <xdr:col>18</xdr:col>
      <xdr:colOff>433659</xdr:colOff>
      <xdr:row>10</xdr:row>
      <xdr:rowOff>45665</xdr:rowOff>
    </xdr:to>
    <xdr:sp macro="" textlink="'KPI''s'!B7">
      <xdr:nvSpPr>
        <xdr:cNvPr id="14" name="Rectangle: Rounded Corners 13">
          <a:extLst>
            <a:ext uri="{FF2B5EF4-FFF2-40B4-BE49-F238E27FC236}">
              <a16:creationId xmlns:a16="http://schemas.microsoft.com/office/drawing/2014/main" id="{A34B0D91-041C-4280-8669-80C7DADB9226}"/>
            </a:ext>
          </a:extLst>
        </xdr:cNvPr>
        <xdr:cNvSpPr/>
      </xdr:nvSpPr>
      <xdr:spPr>
        <a:xfrm>
          <a:off x="10427074" y="888815"/>
          <a:ext cx="1964123" cy="915312"/>
        </a:xfrm>
        <a:prstGeom prst="roundRect">
          <a:avLst/>
        </a:prstGeom>
        <a:solidFill>
          <a:schemeClr val="accent4">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DF2AC3E-2A2C-489F-B2D6-D481FFAC43C1}" type="TxLink">
            <a:rPr lang="en-US" sz="1600" b="0" i="0" u="none" strike="noStrike">
              <a:solidFill>
                <a:srgbClr val="000000"/>
              </a:solidFill>
              <a:latin typeface="Aptos Narrow"/>
            </a:rPr>
            <a:pPr algn="ctr"/>
            <a:t>50</a:t>
          </a:fld>
          <a:endParaRPr lang="en-IN" sz="1600"/>
        </a:p>
      </xdr:txBody>
    </xdr:sp>
    <xdr:clientData/>
  </xdr:twoCellAnchor>
  <xdr:twoCellAnchor>
    <xdr:from>
      <xdr:col>11</xdr:col>
      <xdr:colOff>351692</xdr:colOff>
      <xdr:row>4</xdr:row>
      <xdr:rowOff>165900</xdr:rowOff>
    </xdr:from>
    <xdr:to>
      <xdr:col>15</xdr:col>
      <xdr:colOff>214923</xdr:colOff>
      <xdr:row>10</xdr:row>
      <xdr:rowOff>26135</xdr:rowOff>
    </xdr:to>
    <xdr:sp macro="" textlink="'KPI''s'!B6">
      <xdr:nvSpPr>
        <xdr:cNvPr id="15" name="Rectangle: Rounded Corners 14">
          <a:extLst>
            <a:ext uri="{FF2B5EF4-FFF2-40B4-BE49-F238E27FC236}">
              <a16:creationId xmlns:a16="http://schemas.microsoft.com/office/drawing/2014/main" id="{7B36DF60-961E-4C81-98EB-BC657B189023}"/>
            </a:ext>
          </a:extLst>
        </xdr:cNvPr>
        <xdr:cNvSpPr/>
      </xdr:nvSpPr>
      <xdr:spPr>
        <a:xfrm>
          <a:off x="7659077" y="869285"/>
          <a:ext cx="2520461" cy="915312"/>
        </a:xfrm>
        <a:prstGeom prst="roundRect">
          <a:avLst/>
        </a:prstGeom>
        <a:solidFill>
          <a:schemeClr val="accent3">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5F026D-7CB6-440E-9DF0-E4BFC8ADC121}" type="TxLink">
            <a:rPr lang="en-US" sz="1600" b="0" i="0" u="none" strike="noStrike">
              <a:solidFill>
                <a:srgbClr val="000000"/>
              </a:solidFill>
              <a:latin typeface="Aptos Narrow"/>
            </a:rPr>
            <a:pPr algn="ctr"/>
            <a:t>$916.77</a:t>
          </a:fld>
          <a:endParaRPr lang="en-IN" sz="1600"/>
        </a:p>
      </xdr:txBody>
    </xdr:sp>
    <xdr:clientData/>
  </xdr:twoCellAnchor>
  <xdr:twoCellAnchor>
    <xdr:from>
      <xdr:col>7</xdr:col>
      <xdr:colOff>351692</xdr:colOff>
      <xdr:row>4</xdr:row>
      <xdr:rowOff>146371</xdr:rowOff>
    </xdr:from>
    <xdr:to>
      <xdr:col>11</xdr:col>
      <xdr:colOff>24478</xdr:colOff>
      <xdr:row>10</xdr:row>
      <xdr:rowOff>6606</xdr:rowOff>
    </xdr:to>
    <xdr:sp macro="" textlink="'KPI''s'!B5">
      <xdr:nvSpPr>
        <xdr:cNvPr id="16" name="Rectangle: Rounded Corners 15">
          <a:extLst>
            <a:ext uri="{FF2B5EF4-FFF2-40B4-BE49-F238E27FC236}">
              <a16:creationId xmlns:a16="http://schemas.microsoft.com/office/drawing/2014/main" id="{75C1DE39-CCEC-43A0-A654-89ABDB9B221F}"/>
            </a:ext>
          </a:extLst>
        </xdr:cNvPr>
        <xdr:cNvSpPr/>
      </xdr:nvSpPr>
      <xdr:spPr>
        <a:xfrm>
          <a:off x="5001846" y="849756"/>
          <a:ext cx="2330017" cy="915312"/>
        </a:xfrm>
        <a:prstGeom prst="roundRect">
          <a:avLst/>
        </a:prstGeom>
        <a:solidFill>
          <a:srgbClr val="D642C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E89188-8219-477F-87B0-C7B111AE8AD1}" type="TxLink">
            <a:rPr lang="en-US" sz="1600" b="0" i="0" u="none" strike="noStrike">
              <a:solidFill>
                <a:srgbClr val="000000"/>
              </a:solidFill>
              <a:latin typeface="Aptos Narrow"/>
            </a:rPr>
            <a:pPr algn="ctr"/>
            <a:t>250</a:t>
          </a:fld>
          <a:endParaRPr lang="en-IN" sz="1600"/>
        </a:p>
      </xdr:txBody>
    </xdr:sp>
    <xdr:clientData/>
  </xdr:twoCellAnchor>
  <xdr:twoCellAnchor>
    <xdr:from>
      <xdr:col>3</xdr:col>
      <xdr:colOff>517769</xdr:colOff>
      <xdr:row>4</xdr:row>
      <xdr:rowOff>166077</xdr:rowOff>
    </xdr:from>
    <xdr:to>
      <xdr:col>6</xdr:col>
      <xdr:colOff>556846</xdr:colOff>
      <xdr:row>8</xdr:row>
      <xdr:rowOff>48846</xdr:rowOff>
    </xdr:to>
    <xdr:sp macro="" textlink="">
      <xdr:nvSpPr>
        <xdr:cNvPr id="17" name="Rectangle 16">
          <a:extLst>
            <a:ext uri="{FF2B5EF4-FFF2-40B4-BE49-F238E27FC236}">
              <a16:creationId xmlns:a16="http://schemas.microsoft.com/office/drawing/2014/main" id="{A75AC486-56E1-6039-CBB5-8B671D02CE4C}"/>
            </a:ext>
          </a:extLst>
        </xdr:cNvPr>
        <xdr:cNvSpPr/>
      </xdr:nvSpPr>
      <xdr:spPr>
        <a:xfrm>
          <a:off x="2510692" y="869462"/>
          <a:ext cx="2032000" cy="5861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Total Revenue</a:t>
          </a:r>
        </a:p>
      </xdr:txBody>
    </xdr:sp>
    <xdr:clientData/>
  </xdr:twoCellAnchor>
  <xdr:twoCellAnchor>
    <xdr:from>
      <xdr:col>7</xdr:col>
      <xdr:colOff>341923</xdr:colOff>
      <xdr:row>5</xdr:row>
      <xdr:rowOff>78154</xdr:rowOff>
    </xdr:from>
    <xdr:to>
      <xdr:col>11</xdr:col>
      <xdr:colOff>-1</xdr:colOff>
      <xdr:row>9</xdr:row>
      <xdr:rowOff>19539</xdr:rowOff>
    </xdr:to>
    <xdr:sp macro="" textlink="">
      <xdr:nvSpPr>
        <xdr:cNvPr id="19" name="Rectangle 18">
          <a:extLst>
            <a:ext uri="{FF2B5EF4-FFF2-40B4-BE49-F238E27FC236}">
              <a16:creationId xmlns:a16="http://schemas.microsoft.com/office/drawing/2014/main" id="{4D03B00A-D17D-BD3A-AD76-60BFFF7F3942}"/>
            </a:ext>
          </a:extLst>
        </xdr:cNvPr>
        <xdr:cNvSpPr/>
      </xdr:nvSpPr>
      <xdr:spPr>
        <a:xfrm>
          <a:off x="4992077" y="957385"/>
          <a:ext cx="2315307" cy="6447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Total</a:t>
          </a:r>
          <a:r>
            <a:rPr lang="en-IN" sz="1600" b="1" baseline="0">
              <a:solidFill>
                <a:schemeClr val="tx1">
                  <a:lumMod val="85000"/>
                  <a:lumOff val="15000"/>
                </a:schemeClr>
              </a:solidFill>
            </a:rPr>
            <a:t> Transactions</a:t>
          </a:r>
          <a:endParaRPr lang="en-IN" sz="1600" b="1">
            <a:solidFill>
              <a:schemeClr val="tx1">
                <a:lumMod val="85000"/>
                <a:lumOff val="15000"/>
              </a:schemeClr>
            </a:solidFill>
          </a:endParaRPr>
        </a:p>
      </xdr:txBody>
    </xdr:sp>
    <xdr:clientData/>
  </xdr:twoCellAnchor>
  <xdr:twoCellAnchor>
    <xdr:from>
      <xdr:col>11</xdr:col>
      <xdr:colOff>517769</xdr:colOff>
      <xdr:row>5</xdr:row>
      <xdr:rowOff>156307</xdr:rowOff>
    </xdr:from>
    <xdr:to>
      <xdr:col>15</xdr:col>
      <xdr:colOff>302847</xdr:colOff>
      <xdr:row>7</xdr:row>
      <xdr:rowOff>125505</xdr:rowOff>
    </xdr:to>
    <xdr:sp macro="" textlink="">
      <xdr:nvSpPr>
        <xdr:cNvPr id="20" name="Rectangle 19">
          <a:extLst>
            <a:ext uri="{FF2B5EF4-FFF2-40B4-BE49-F238E27FC236}">
              <a16:creationId xmlns:a16="http://schemas.microsoft.com/office/drawing/2014/main" id="{B8A81B98-5B7B-9B28-4166-DE6B4AA16B44}"/>
            </a:ext>
          </a:extLst>
        </xdr:cNvPr>
        <xdr:cNvSpPr/>
      </xdr:nvSpPr>
      <xdr:spPr>
        <a:xfrm>
          <a:off x="7825154" y="1035538"/>
          <a:ext cx="2442308" cy="320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Average Order</a:t>
          </a:r>
          <a:r>
            <a:rPr lang="en-IN" sz="1600" b="1" baseline="0">
              <a:solidFill>
                <a:schemeClr val="tx1">
                  <a:lumMod val="85000"/>
                  <a:lumOff val="15000"/>
                </a:schemeClr>
              </a:solidFill>
            </a:rPr>
            <a:t> Value</a:t>
          </a:r>
          <a:endParaRPr lang="en-IN" sz="1600" b="1">
            <a:solidFill>
              <a:schemeClr val="tx1">
                <a:lumMod val="85000"/>
                <a:lumOff val="15000"/>
              </a:schemeClr>
            </a:solidFill>
          </a:endParaRPr>
        </a:p>
      </xdr:txBody>
    </xdr:sp>
    <xdr:clientData/>
  </xdr:twoCellAnchor>
  <xdr:twoCellAnchor>
    <xdr:from>
      <xdr:col>15</xdr:col>
      <xdr:colOff>507999</xdr:colOff>
      <xdr:row>5</xdr:row>
      <xdr:rowOff>48846</xdr:rowOff>
    </xdr:from>
    <xdr:to>
      <xdr:col>18</xdr:col>
      <xdr:colOff>439616</xdr:colOff>
      <xdr:row>8</xdr:row>
      <xdr:rowOff>62753</xdr:rowOff>
    </xdr:to>
    <xdr:sp macro="" textlink="">
      <xdr:nvSpPr>
        <xdr:cNvPr id="21" name="Rectangle 20">
          <a:extLst>
            <a:ext uri="{FF2B5EF4-FFF2-40B4-BE49-F238E27FC236}">
              <a16:creationId xmlns:a16="http://schemas.microsoft.com/office/drawing/2014/main" id="{58EA3078-E351-4A7A-A0E8-F667BF778461}"/>
            </a:ext>
          </a:extLst>
        </xdr:cNvPr>
        <xdr:cNvSpPr/>
      </xdr:nvSpPr>
      <xdr:spPr>
        <a:xfrm>
          <a:off x="10472614" y="928077"/>
          <a:ext cx="1924540" cy="5414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lumMod val="85000"/>
                  <a:lumOff val="15000"/>
                </a:schemeClr>
              </a:solidFill>
            </a:rPr>
            <a:t>Total Unique</a:t>
          </a:r>
        </a:p>
        <a:p>
          <a:pPr algn="ctr"/>
          <a:r>
            <a:rPr lang="en-IN" sz="1400" b="1">
              <a:solidFill>
                <a:schemeClr val="tx1">
                  <a:lumMod val="85000"/>
                  <a:lumOff val="15000"/>
                </a:schemeClr>
              </a:solidFill>
            </a:rPr>
            <a:t> Customers</a:t>
          </a:r>
        </a:p>
      </xdr:txBody>
    </xdr:sp>
    <xdr:clientData/>
  </xdr:twoCellAnchor>
  <xdr:twoCellAnchor>
    <xdr:from>
      <xdr:col>19</xdr:col>
      <xdr:colOff>0</xdr:colOff>
      <xdr:row>5</xdr:row>
      <xdr:rowOff>9769</xdr:rowOff>
    </xdr:from>
    <xdr:to>
      <xdr:col>21</xdr:col>
      <xdr:colOff>507999</xdr:colOff>
      <xdr:row>8</xdr:row>
      <xdr:rowOff>19539</xdr:rowOff>
    </xdr:to>
    <xdr:sp macro="" textlink="">
      <xdr:nvSpPr>
        <xdr:cNvPr id="22" name="Rectangle 21">
          <a:extLst>
            <a:ext uri="{FF2B5EF4-FFF2-40B4-BE49-F238E27FC236}">
              <a16:creationId xmlns:a16="http://schemas.microsoft.com/office/drawing/2014/main" id="{402790DD-3505-4382-8D77-3231A3E1162B}"/>
            </a:ext>
          </a:extLst>
        </xdr:cNvPr>
        <xdr:cNvSpPr/>
      </xdr:nvSpPr>
      <xdr:spPr>
        <a:xfrm>
          <a:off x="12621846" y="889000"/>
          <a:ext cx="1836615" cy="5373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85000"/>
                  <a:lumOff val="15000"/>
                </a:schemeClr>
              </a:solidFill>
            </a:rPr>
            <a:t>Total</a:t>
          </a:r>
          <a:r>
            <a:rPr lang="en-IN" sz="1600" b="1" baseline="0">
              <a:solidFill>
                <a:schemeClr val="tx1">
                  <a:lumMod val="85000"/>
                  <a:lumOff val="15000"/>
                </a:schemeClr>
              </a:solidFill>
            </a:rPr>
            <a:t> Units Sold</a:t>
          </a:r>
          <a:endParaRPr lang="en-IN" sz="1600" b="1">
            <a:solidFill>
              <a:schemeClr val="tx1">
                <a:lumMod val="85000"/>
                <a:lumOff val="15000"/>
              </a:schemeClr>
            </a:solidFill>
          </a:endParaRPr>
        </a:p>
      </xdr:txBody>
    </xdr:sp>
    <xdr:clientData/>
  </xdr:twoCellAnchor>
  <xdr:oneCellAnchor>
    <xdr:from>
      <xdr:col>11</xdr:col>
      <xdr:colOff>233082</xdr:colOff>
      <xdr:row>15</xdr:row>
      <xdr:rowOff>8964</xdr:rowOff>
    </xdr:from>
    <xdr:ext cx="184731" cy="264560"/>
    <xdr:sp macro="" textlink="">
      <xdr:nvSpPr>
        <xdr:cNvPr id="24" name="TextBox 23">
          <a:extLst>
            <a:ext uri="{FF2B5EF4-FFF2-40B4-BE49-F238E27FC236}">
              <a16:creationId xmlns:a16="http://schemas.microsoft.com/office/drawing/2014/main" id="{96B5328E-5F9C-65B4-CC99-9A54D5DDC484}"/>
            </a:ext>
          </a:extLst>
        </xdr:cNvPr>
        <xdr:cNvSpPr txBox="1"/>
      </xdr:nvSpPr>
      <xdr:spPr>
        <a:xfrm>
          <a:off x="6938682" y="26983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0</xdr:col>
      <xdr:colOff>222019</xdr:colOff>
      <xdr:row>7</xdr:row>
      <xdr:rowOff>80986</xdr:rowOff>
    </xdr:from>
    <xdr:to>
      <xdr:col>3</xdr:col>
      <xdr:colOff>214471</xdr:colOff>
      <xdr:row>17</xdr:row>
      <xdr:rowOff>46983</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263A8FC5-E78B-47D4-87A6-5D7F3FA0B7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2019" y="1311909"/>
              <a:ext cx="1985375" cy="1724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218694</xdr:colOff>
      <xdr:row>18</xdr:row>
      <xdr:rowOff>110125</xdr:rowOff>
    </xdr:from>
    <xdr:to>
      <xdr:col>3</xdr:col>
      <xdr:colOff>211146</xdr:colOff>
      <xdr:row>25</xdr:row>
      <xdr:rowOff>43641</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6A7183FB-5473-49CF-8DE9-BC8305CF47A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8694" y="3275356"/>
              <a:ext cx="1985375" cy="116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94427</xdr:colOff>
      <xdr:row>5</xdr:row>
      <xdr:rowOff>20281</xdr:rowOff>
    </xdr:from>
    <xdr:to>
      <xdr:col>25</xdr:col>
      <xdr:colOff>86879</xdr:colOff>
      <xdr:row>13</xdr:row>
      <xdr:rowOff>49164</xdr:rowOff>
    </xdr:to>
    <mc:AlternateContent xmlns:mc="http://schemas.openxmlformats.org/markup-compatibility/2006" xmlns:a14="http://schemas.microsoft.com/office/drawing/2010/main">
      <mc:Choice Requires="a14">
        <xdr:graphicFrame macro="">
          <xdr:nvGraphicFramePr>
            <xdr:cNvPr id="29" name="Years (Date) 1">
              <a:extLst>
                <a:ext uri="{FF2B5EF4-FFF2-40B4-BE49-F238E27FC236}">
                  <a16:creationId xmlns:a16="http://schemas.microsoft.com/office/drawing/2014/main" id="{82FA9334-1E6D-4261-BE38-F9D9F921717F}"/>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4709196" y="899512"/>
              <a:ext cx="1985375" cy="1435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100402</xdr:colOff>
      <xdr:row>13</xdr:row>
      <xdr:rowOff>165283</xdr:rowOff>
    </xdr:from>
    <xdr:to>
      <xdr:col>25</xdr:col>
      <xdr:colOff>92854</xdr:colOff>
      <xdr:row>41</xdr:row>
      <xdr:rowOff>51856</xdr:rowOff>
    </xdr:to>
    <mc:AlternateContent xmlns:mc="http://schemas.openxmlformats.org/markup-compatibility/2006" xmlns:a14="http://schemas.microsoft.com/office/drawing/2010/main">
      <mc:Choice Requires="a14">
        <xdr:graphicFrame macro="">
          <xdr:nvGraphicFramePr>
            <xdr:cNvPr id="30" name="Months (Date) 1">
              <a:extLst>
                <a:ext uri="{FF2B5EF4-FFF2-40B4-BE49-F238E27FC236}">
                  <a16:creationId xmlns:a16="http://schemas.microsoft.com/office/drawing/2014/main" id="{B6C0848F-7B8E-4909-9F8D-1D2DBBE3453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4715171" y="2451283"/>
              <a:ext cx="1985375" cy="4810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416719</xdr:colOff>
      <xdr:row>10</xdr:row>
      <xdr:rowOff>154780</xdr:rowOff>
    </xdr:from>
    <xdr:to>
      <xdr:col>13</xdr:col>
      <xdr:colOff>11906</xdr:colOff>
      <xdr:row>25</xdr:row>
      <xdr:rowOff>175874</xdr:rowOff>
    </xdr:to>
    <xdr:graphicFrame macro="">
      <xdr:nvGraphicFramePr>
        <xdr:cNvPr id="31" name="Chart 30">
          <a:extLst>
            <a:ext uri="{FF2B5EF4-FFF2-40B4-BE49-F238E27FC236}">
              <a16:creationId xmlns:a16="http://schemas.microsoft.com/office/drawing/2014/main" id="{854B0EB8-DD2D-4060-9287-F2AE0BDF9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83345</xdr:colOff>
      <xdr:row>10</xdr:row>
      <xdr:rowOff>154779</xdr:rowOff>
    </xdr:from>
    <xdr:to>
      <xdr:col>19</xdr:col>
      <xdr:colOff>547689</xdr:colOff>
      <xdr:row>25</xdr:row>
      <xdr:rowOff>175873</xdr:rowOff>
    </xdr:to>
    <xdr:graphicFrame macro="">
      <xdr:nvGraphicFramePr>
        <xdr:cNvPr id="33" name="Chart 32">
          <a:extLst>
            <a:ext uri="{FF2B5EF4-FFF2-40B4-BE49-F238E27FC236}">
              <a16:creationId xmlns:a16="http://schemas.microsoft.com/office/drawing/2014/main" id="{01A23D56-EB32-446E-8827-216F90BBC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404812</xdr:colOff>
      <xdr:row>26</xdr:row>
      <xdr:rowOff>11906</xdr:rowOff>
    </xdr:from>
    <xdr:to>
      <xdr:col>9</xdr:col>
      <xdr:colOff>569715</xdr:colOff>
      <xdr:row>41</xdr:row>
      <xdr:rowOff>18584</xdr:rowOff>
    </xdr:to>
    <xdr:graphicFrame macro="">
      <xdr:nvGraphicFramePr>
        <xdr:cNvPr id="35" name="Chart 34">
          <a:extLst>
            <a:ext uri="{FF2B5EF4-FFF2-40B4-BE49-F238E27FC236}">
              <a16:creationId xmlns:a16="http://schemas.microsoft.com/office/drawing/2014/main" id="{E69975DD-B53F-42A2-BA16-82AFD0B80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202436</xdr:colOff>
      <xdr:row>26</xdr:row>
      <xdr:rowOff>98755</xdr:rowOff>
    </xdr:from>
    <xdr:to>
      <xdr:col>3</xdr:col>
      <xdr:colOff>194888</xdr:colOff>
      <xdr:row>32</xdr:row>
      <xdr:rowOff>172118</xdr:rowOff>
    </xdr:to>
    <mc:AlternateContent xmlns:mc="http://schemas.openxmlformats.org/markup-compatibility/2006" xmlns:a14="http://schemas.microsoft.com/office/drawing/2010/main">
      <mc:Choice Requires="a14">
        <xdr:graphicFrame macro="">
          <xdr:nvGraphicFramePr>
            <xdr:cNvPr id="36" name="Customer_Segment 1">
              <a:extLst>
                <a:ext uri="{FF2B5EF4-FFF2-40B4-BE49-F238E27FC236}">
                  <a16:creationId xmlns:a16="http://schemas.microsoft.com/office/drawing/2014/main" id="{5C6B5B31-BF2C-469A-9BA0-4CA4805E19C9}"/>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202436" y="4670755"/>
              <a:ext cx="1985375" cy="112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18435</xdr:colOff>
      <xdr:row>26</xdr:row>
      <xdr:rowOff>59149</xdr:rowOff>
    </xdr:from>
    <xdr:to>
      <xdr:col>19</xdr:col>
      <xdr:colOff>535790</xdr:colOff>
      <xdr:row>40</xdr:row>
      <xdr:rowOff>178181</xdr:rowOff>
    </xdr:to>
    <xdr:graphicFrame macro="">
      <xdr:nvGraphicFramePr>
        <xdr:cNvPr id="37" name="Chart 36">
          <a:extLst>
            <a:ext uri="{FF2B5EF4-FFF2-40B4-BE49-F238E27FC236}">
              <a16:creationId xmlns:a16="http://schemas.microsoft.com/office/drawing/2014/main" id="{4A3C22DE-98C5-4723-8CFE-981A8A44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264084</xdr:colOff>
      <xdr:row>0</xdr:row>
      <xdr:rowOff>166077</xdr:rowOff>
    </xdr:from>
    <xdr:to>
      <xdr:col>25</xdr:col>
      <xdr:colOff>87923</xdr:colOff>
      <xdr:row>4</xdr:row>
      <xdr:rowOff>58926</xdr:rowOff>
    </xdr:to>
    <xdr:sp macro="" textlink="">
      <xdr:nvSpPr>
        <xdr:cNvPr id="41" name="Rectangle 40">
          <a:extLst>
            <a:ext uri="{FF2B5EF4-FFF2-40B4-BE49-F238E27FC236}">
              <a16:creationId xmlns:a16="http://schemas.microsoft.com/office/drawing/2014/main" id="{25936822-1E7D-14BC-C42F-BB21BDB71E52}"/>
            </a:ext>
          </a:extLst>
        </xdr:cNvPr>
        <xdr:cNvSpPr/>
      </xdr:nvSpPr>
      <xdr:spPr>
        <a:xfrm>
          <a:off x="264084" y="166077"/>
          <a:ext cx="16431531" cy="596234"/>
        </a:xfrm>
        <a:prstGeom prst="rect">
          <a:avLst/>
        </a:prstGeom>
        <a:solidFill>
          <a:srgbClr val="C2A4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Data Intelligence Summary - 2024-25</a:t>
          </a:r>
        </a:p>
        <a:p>
          <a:pPr algn="ctr"/>
          <a:endParaRPr lang="en-IN" sz="20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121.187282407409" createdVersion="8" refreshedVersion="8" minRefreshableVersion="3" recordCount="250">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5-03-24T00:00:00"/>
        <d v="2024-05-18T00:00:00"/>
        <d v="2024-07-01T00:00:00"/>
        <d v="2024-09-09T00:00:00"/>
        <d v="2024-12-18T00:00:00"/>
        <d v="2025-03-21T00:00:00"/>
        <d v="2024-04-18T00:00:00"/>
        <d v="2024-06-07T00:00:00"/>
        <d v="2024-07-08T00:00:00"/>
        <d v="2024-10-01T00:00:00"/>
        <d v="2024-12-20T00:00:00"/>
        <d v="2024-12-28T00:00:00"/>
        <d v="2025-01-06T00:00:00"/>
        <d v="2025-01-31T00:00:00"/>
        <d v="2025-02-19T00:00:00"/>
        <d v="2024-06-03T00:00:00"/>
        <d v="2024-09-16T00:00:00"/>
        <d v="2024-10-23T00:00:00"/>
        <d v="2024-11-12T00:00:00"/>
        <d v="2024-11-23T00:00:00"/>
        <d v="2024-12-09T00:00:00"/>
        <d v="2024-05-16T00:00:00"/>
        <d v="2024-05-23T00:00:00"/>
        <d v="2024-06-13T00:00:00"/>
        <d v="2025-01-19T00:00:00"/>
        <d v="2024-07-03T00:00:00"/>
        <d v="2024-07-25T00:00:00"/>
        <d v="2024-08-13T00:00:00"/>
        <d v="2024-12-15T00:00:00"/>
        <d v="2024-12-19T00:00:00"/>
        <d v="2024-12-22T00:00:00"/>
        <d v="2024-05-28T00:00:00"/>
        <d v="2024-06-17T00:00:00"/>
        <d v="2024-04-23T00:00:00"/>
        <d v="2024-06-26T00:00:00"/>
        <d v="2024-12-29T00:00:00"/>
        <d v="2025-01-16T00:00:00"/>
        <d v="2025-04-09T00:00:00"/>
        <d v="2024-04-28T00:00:00"/>
        <d v="2024-08-09T00:00:00"/>
        <d v="2024-10-07T00:00:00"/>
        <d v="2024-11-08T00:00:00"/>
        <d v="2024-09-19T00:00:00"/>
        <d v="2024-12-03T00:00:00"/>
        <d v="2025-01-29T00:00:00"/>
        <d v="2024-05-01T00:00:00"/>
        <d v="2024-05-12T00:00:00"/>
        <d v="2024-05-22T00:00:00"/>
        <d v="2024-06-16T00:00:00"/>
        <d v="2024-06-28T00:00:00"/>
        <d v="2024-09-28T00:00:00"/>
        <d v="2024-11-07T00:00:00"/>
        <d v="2024-11-11T00:00:00"/>
        <d v="2024-04-14T00:00:00"/>
        <d v="2024-06-06T00:00:00"/>
        <d v="2024-07-11T00:00:00"/>
        <d v="2024-07-24T00:00:00"/>
        <d v="2024-12-01T00:00:00"/>
        <d v="2024-09-25T00:00:00"/>
        <d v="2024-11-27T00:00:00"/>
        <d v="2024-09-29T00:00:00"/>
        <d v="2025-02-17T00:00:00"/>
        <d v="2025-02-27T00:00:00"/>
        <d v="2024-08-05T00:00:00"/>
        <d v="2024-10-08T00:00:00"/>
        <d v="2025-02-23T00:00:00"/>
        <d v="2024-04-21T00:00:00"/>
        <d v="2024-05-15T00:00:00"/>
        <d v="2024-06-01T00:00:00"/>
        <d v="2024-07-02T00:00:00"/>
        <d v="2024-09-10T00:00:00"/>
        <d v="2025-02-22T00:00:00"/>
        <d v="2025-03-02T00:00:00"/>
        <d v="2025-03-08T00:00:00"/>
        <d v="2024-04-30T00:00:00"/>
        <d v="2024-07-27T00:00:00"/>
        <d v="2024-10-16T00:00:00"/>
        <d v="2025-02-20T00:00:00"/>
        <d v="2024-05-31T00:00:00"/>
        <d v="2024-07-28T00:00:00"/>
        <d v="2024-10-11T00:00:00"/>
        <d v="2025-01-03T00:00:00"/>
        <d v="2024-11-09T00:00:00"/>
        <d v="2025-03-29T00:00:00"/>
        <d v="2024-04-17T00:00:00"/>
        <d v="2024-05-20T00:00:00"/>
        <d v="2024-12-23T00:00:00"/>
        <d v="2025-02-16T00:00:00"/>
        <d v="2024-04-26T00:00:00"/>
        <d v="2025-01-25T00:00:00"/>
        <d v="2024-04-11T00:00:00"/>
        <d v="2024-09-02T00:00:00"/>
        <d v="2024-11-01T00:00:00"/>
        <d v="2025-03-07T00:00:00"/>
        <d v="2025-03-23T00:00:00"/>
        <d v="2024-09-12T00:00:00"/>
        <d v="2024-12-04T00:00:00"/>
        <d v="2025-01-26T00:00:00"/>
        <d v="2024-05-04T00:00:00"/>
        <d v="2024-07-30T00:00:00"/>
        <d v="2024-08-11T00:00:00"/>
        <d v="2024-08-18T00:00:00"/>
        <d v="2024-11-17T00:00:00"/>
        <d v="2024-12-31T00:00:00"/>
        <d v="2025-01-13T00:00:00"/>
        <d v="2024-07-18T00:00:00"/>
        <d v="2024-11-04T00:00:00"/>
        <d v="2025-01-09T00:00:00"/>
        <d v="2025-03-30T00:00:00"/>
        <d v="2024-04-27T00:00:00"/>
        <d v="2024-10-14T00:00:00"/>
        <d v="2024-08-15T00:00:00"/>
        <d v="2024-10-24T00:00:00"/>
        <d v="2025-01-14T00:00:00"/>
        <d v="2024-11-21T00:00:00"/>
        <d v="2025-04-02T00:00:00"/>
        <d v="2024-05-13T00:00:00"/>
        <d v="2024-06-29T00:00:00"/>
        <d v="2024-07-31T00:00:00"/>
        <d v="2024-12-10T00:00:00"/>
        <d v="2024-05-26T00:00:00"/>
        <d v="2024-09-06T00:00:00"/>
        <d v="2025-01-11T00:00:00"/>
        <d v="2025-02-24T00:00:00"/>
        <d v="2025-04-11T00:00:00"/>
        <d v="2024-08-30T00:00:00"/>
        <d v="2024-09-24T00:00:00"/>
        <d v="2024-07-14T00:00:00"/>
        <d v="2025-03-18T00:00:00"/>
        <d v="2024-08-28T00:00:00"/>
        <d v="2024-05-29T00:00:00"/>
        <d v="2024-08-24T00:00:00"/>
        <d v="2025-03-10T00:00:00"/>
        <d v="2024-05-10T00:00:00"/>
        <d v="2024-08-19T00:00:00"/>
        <d v="2025-01-10T00:00:00"/>
        <d v="2025-02-13T00:00:00"/>
        <d v="2025-01-04T00:00:00"/>
        <d v="2025-02-04T00:00:00"/>
        <d v="2024-09-03T00:00:00"/>
        <d v="2024-10-18T00:00:00"/>
        <d v="2024-10-21T00:00:00"/>
        <d v="2025-03-04T00:00:00"/>
        <d v="2024-07-23T00:00:00"/>
        <d v="2025-02-08T00:00:00"/>
        <d v="2024-07-17T00:00:00"/>
        <d v="2024-12-12T00:00:00"/>
        <d v="2024-09-15T00:00:00"/>
        <d v="2025-02-07T00:00:00"/>
        <d v="2025-03-05T00:00:00"/>
        <d v="2024-05-03T00:00:00"/>
        <d v="2024-08-06T00:00:00"/>
        <d v="2024-08-22T00:00:00"/>
        <d v="2025-03-27T00:00:00"/>
        <d v="2025-04-01T00:00:00"/>
        <d v="2024-11-26T00:00:00"/>
        <d v="2024-09-13T00:00:00"/>
        <d v="2025-04-08T00:00:00"/>
        <d v="2024-06-25T00:00:00"/>
        <d v="2024-07-09T00:00:00"/>
        <d v="2024-10-27T00:00:00"/>
        <d v="2024-06-09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Furniture"/>
        <s v="Electronics"/>
        <s v="Appliances"/>
      </sharedItems>
    </cacheField>
    <cacheField name="Quantity" numFmtId="1">
      <sharedItems containsSemiMixedTypes="0" containsString="0" containsNumber="1" containsInteger="1" minValue="1" maxValue="5"/>
    </cacheField>
    <cacheField name="Unit_Price" numFmtId="165">
      <sharedItems containsSemiMixedTypes="0" containsString="0" containsNumber="1" minValue="59.99" maxValue="899.99"/>
    </cacheField>
    <cacheField name="Payment_Method" numFmtId="0">
      <sharedItems count="4">
        <s v="PayPal"/>
        <s v="Credit Card"/>
        <s v="Cash"/>
        <s v="Debit Card"/>
      </sharedItems>
    </cacheField>
    <cacheField name="Region" numFmtId="0">
      <sharedItems count="5">
        <s v="West"/>
        <s v="Central"/>
        <s v="East"/>
        <s v="North"/>
        <s v="South"/>
      </sharedItems>
    </cacheField>
    <cacheField name="Customer_Segment" numFmtId="0">
      <sharedItems count="3">
        <s v="Standard"/>
        <s v="Premium"/>
        <s v="Basic"/>
      </sharedItems>
    </cacheField>
    <cacheField name="Customer_Since" numFmtId="14">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535253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050"/>
    <x v="0"/>
    <s v="CUST001"/>
    <s v="John Smith"/>
    <s v="P008"/>
    <s v="Bookshelf"/>
    <x v="0"/>
    <n v="4"/>
    <n v="149.99"/>
    <x v="0"/>
    <x v="0"/>
    <x v="0"/>
    <d v="2021-12-30T00:00:00"/>
    <n v="599.96"/>
  </r>
  <r>
    <s v="TRX0130"/>
    <x v="1"/>
    <s v="CUST002"/>
    <s v="Emma Wilson"/>
    <s v="P008"/>
    <s v="Bookshelf"/>
    <x v="0"/>
    <n v="3"/>
    <n v="149.99"/>
    <x v="1"/>
    <x v="0"/>
    <x v="1"/>
    <d v="2023-05-22T00:00:00"/>
    <n v="449.97"/>
  </r>
  <r>
    <s v="TRX0096"/>
    <x v="2"/>
    <s v="CUST002"/>
    <s v="Emma Wilson"/>
    <s v="P010"/>
    <s v="Keyboard"/>
    <x v="1"/>
    <n v="2"/>
    <n v="89.99"/>
    <x v="0"/>
    <x v="1"/>
    <x v="1"/>
    <d v="2023-12-15T00:00:00"/>
    <n v="179.98"/>
  </r>
  <r>
    <s v="TRX0142"/>
    <x v="3"/>
    <s v="CUST002"/>
    <s v="Emma Wilson"/>
    <s v="P005"/>
    <s v="Blender"/>
    <x v="2"/>
    <n v="3"/>
    <n v="59.99"/>
    <x v="0"/>
    <x v="2"/>
    <x v="0"/>
    <d v="2022-07-06T00:00:00"/>
    <n v="179.97"/>
  </r>
  <r>
    <s v="TRX0028"/>
    <x v="4"/>
    <s v="CUST002"/>
    <s v="Emma Wilson"/>
    <s v="P005"/>
    <s v="Blender"/>
    <x v="2"/>
    <n v="2"/>
    <n v="59.99"/>
    <x v="2"/>
    <x v="0"/>
    <x v="2"/>
    <d v="2023-09-22T00:00:00"/>
    <n v="119.98"/>
  </r>
  <r>
    <s v="TRX0003"/>
    <x v="5"/>
    <s v="CUST002"/>
    <s v="Emma Wilson"/>
    <s v="P008"/>
    <s v="Bookshelf"/>
    <x v="0"/>
    <n v="2"/>
    <n v="149.99"/>
    <x v="2"/>
    <x v="0"/>
    <x v="1"/>
    <d v="2023-11-03T00:00:00"/>
    <n v="299.98"/>
  </r>
  <r>
    <s v="TRX0212"/>
    <x v="6"/>
    <s v="CUST003"/>
    <s v="Michael Brown"/>
    <s v="P008"/>
    <s v="Bookshelf"/>
    <x v="0"/>
    <n v="5"/>
    <n v="149.99"/>
    <x v="1"/>
    <x v="3"/>
    <x v="1"/>
    <d v="2024-01-04T00:00:00"/>
    <n v="749.95"/>
  </r>
  <r>
    <s v="TRX0220"/>
    <x v="7"/>
    <s v="CUST003"/>
    <s v="Michael Brown"/>
    <s v="P008"/>
    <s v="Bookshelf"/>
    <x v="0"/>
    <n v="2"/>
    <n v="149.99"/>
    <x v="2"/>
    <x v="2"/>
    <x v="1"/>
    <d v="2022-03-25T00:00:00"/>
    <n v="299.98"/>
  </r>
  <r>
    <s v="TRX0113"/>
    <x v="8"/>
    <s v="CUST003"/>
    <s v="Michael Brown"/>
    <s v="P002"/>
    <s v="Smartphone"/>
    <x v="1"/>
    <n v="2"/>
    <n v="699.99"/>
    <x v="0"/>
    <x v="2"/>
    <x v="1"/>
    <d v="2024-04-07T00:00:00"/>
    <n v="1399.98"/>
  </r>
  <r>
    <s v="TRX0174"/>
    <x v="9"/>
    <s v="CUST003"/>
    <s v="Michael Brown"/>
    <s v="P007"/>
    <s v="Desk"/>
    <x v="0"/>
    <n v="4"/>
    <n v="299.99"/>
    <x v="2"/>
    <x v="1"/>
    <x v="1"/>
    <d v="2021-09-21T00:00:00"/>
    <n v="1199.96"/>
  </r>
  <r>
    <s v="TRX0046"/>
    <x v="10"/>
    <s v="CUST003"/>
    <s v="Michael Brown"/>
    <s v="P008"/>
    <s v="Bookshelf"/>
    <x v="0"/>
    <n v="2"/>
    <n v="149.99"/>
    <x v="2"/>
    <x v="4"/>
    <x v="2"/>
    <d v="2023-11-09T00:00:00"/>
    <n v="299.98"/>
  </r>
  <r>
    <s v="TRX0143"/>
    <x v="11"/>
    <s v="CUST003"/>
    <s v="Michael Brown"/>
    <s v="P007"/>
    <s v="Desk"/>
    <x v="0"/>
    <n v="2"/>
    <n v="299.99"/>
    <x v="2"/>
    <x v="0"/>
    <x v="2"/>
    <d v="2022-07-29T00:00:00"/>
    <n v="599.98"/>
  </r>
  <r>
    <s v="TRX0091"/>
    <x v="12"/>
    <s v="CUST003"/>
    <s v="Michael Brown"/>
    <s v="P007"/>
    <s v="Desk"/>
    <x v="0"/>
    <n v="3"/>
    <n v="299.99"/>
    <x v="2"/>
    <x v="4"/>
    <x v="0"/>
    <d v="2021-08-14T00:00:00"/>
    <n v="899.97"/>
  </r>
  <r>
    <s v="TRX0166"/>
    <x v="13"/>
    <s v="CUST003"/>
    <s v="Michael Brown"/>
    <s v="P010"/>
    <s v="Keyboard"/>
    <x v="1"/>
    <n v="3"/>
    <n v="89.99"/>
    <x v="3"/>
    <x v="4"/>
    <x v="1"/>
    <d v="2024-01-16T00:00:00"/>
    <n v="269.97000000000003"/>
  </r>
  <r>
    <s v="TRX0168"/>
    <x v="14"/>
    <s v="CUST003"/>
    <s v="Michael Brown"/>
    <s v="P008"/>
    <s v="Bookshelf"/>
    <x v="0"/>
    <n v="3"/>
    <n v="149.99"/>
    <x v="0"/>
    <x v="1"/>
    <x v="0"/>
    <d v="2022-03-13T00:00:00"/>
    <n v="449.97"/>
  </r>
  <r>
    <s v="TRX0208"/>
    <x v="15"/>
    <s v="CUST004"/>
    <s v="Sarah Davis"/>
    <s v="P010"/>
    <s v="Keyboard"/>
    <x v="1"/>
    <n v="5"/>
    <n v="89.99"/>
    <x v="1"/>
    <x v="2"/>
    <x v="0"/>
    <d v="2022-01-26T00:00:00"/>
    <n v="449.95"/>
  </r>
  <r>
    <s v="TRX0054"/>
    <x v="16"/>
    <s v="CUST004"/>
    <s v="Sarah Davis"/>
    <s v="P006"/>
    <s v="Office Chair"/>
    <x v="0"/>
    <n v="4"/>
    <n v="199.99"/>
    <x v="3"/>
    <x v="2"/>
    <x v="2"/>
    <d v="2021-09-19T00:00:00"/>
    <n v="799.96"/>
  </r>
  <r>
    <s v="TRX0009"/>
    <x v="17"/>
    <s v="CUST004"/>
    <s v="Sarah Davis"/>
    <s v="P002"/>
    <s v="Smartphone"/>
    <x v="1"/>
    <n v="2"/>
    <n v="699.99"/>
    <x v="2"/>
    <x v="1"/>
    <x v="2"/>
    <d v="2023-03-07T00:00:00"/>
    <n v="1399.98"/>
  </r>
  <r>
    <s v="TRX0210"/>
    <x v="18"/>
    <s v="CUST004"/>
    <s v="Sarah Davis"/>
    <s v="P008"/>
    <s v="Bookshelf"/>
    <x v="0"/>
    <n v="5"/>
    <n v="149.99"/>
    <x v="0"/>
    <x v="1"/>
    <x v="2"/>
    <d v="2022-12-06T00:00:00"/>
    <n v="749.95"/>
  </r>
  <r>
    <s v="TRX0148"/>
    <x v="19"/>
    <s v="CUST004"/>
    <s v="Sarah Davis"/>
    <s v="P002"/>
    <s v="Smartphone"/>
    <x v="1"/>
    <n v="3"/>
    <n v="699.99"/>
    <x v="0"/>
    <x v="0"/>
    <x v="0"/>
    <d v="2022-01-22T00:00:00"/>
    <n v="2099.9699999999998"/>
  </r>
  <r>
    <s v="TRX0082"/>
    <x v="20"/>
    <s v="CUST005"/>
    <s v="James Johnson"/>
    <s v="P005"/>
    <s v="Blender"/>
    <x v="2"/>
    <n v="3"/>
    <n v="59.99"/>
    <x v="2"/>
    <x v="1"/>
    <x v="1"/>
    <d v="2023-05-06T00:00:00"/>
    <n v="179.97"/>
  </r>
  <r>
    <s v="TRX0194"/>
    <x v="21"/>
    <s v="CUST006"/>
    <s v="Lisa Anderson"/>
    <s v="P008"/>
    <s v="Bookshelf"/>
    <x v="0"/>
    <n v="2"/>
    <n v="149.99"/>
    <x v="1"/>
    <x v="0"/>
    <x v="2"/>
    <d v="2022-09-19T00:00:00"/>
    <n v="299.98"/>
  </r>
  <r>
    <s v="TRX0021"/>
    <x v="22"/>
    <s v="CUST006"/>
    <s v="Lisa Anderson"/>
    <s v="P004"/>
    <s v="Coffee Maker"/>
    <x v="2"/>
    <n v="3"/>
    <n v="79.989999999999995"/>
    <x v="2"/>
    <x v="4"/>
    <x v="2"/>
    <d v="2023-04-30T00:00:00"/>
    <n v="239.97"/>
  </r>
  <r>
    <s v="TRX0088"/>
    <x v="23"/>
    <s v="CUST006"/>
    <s v="Lisa Anderson"/>
    <s v="P010"/>
    <s v="Keyboard"/>
    <x v="1"/>
    <n v="5"/>
    <n v="89.99"/>
    <x v="2"/>
    <x v="1"/>
    <x v="1"/>
    <d v="2022-01-18T00:00:00"/>
    <n v="449.95"/>
  </r>
  <r>
    <s v="TRX0237"/>
    <x v="12"/>
    <s v="CUST006"/>
    <s v="Lisa Anderson"/>
    <s v="P003"/>
    <s v="Headphones"/>
    <x v="1"/>
    <n v="5"/>
    <n v="149.99"/>
    <x v="0"/>
    <x v="2"/>
    <x v="1"/>
    <d v="2022-09-20T00:00:00"/>
    <n v="749.95"/>
  </r>
  <r>
    <s v="TRX0110"/>
    <x v="24"/>
    <s v="CUST006"/>
    <s v="Lisa Anderson"/>
    <s v="P005"/>
    <s v="Blender"/>
    <x v="2"/>
    <n v="5"/>
    <n v="59.99"/>
    <x v="3"/>
    <x v="2"/>
    <x v="2"/>
    <d v="2022-03-22T00:00:00"/>
    <n v="299.95"/>
  </r>
  <r>
    <s v="TRX0070"/>
    <x v="25"/>
    <s v="CUST007"/>
    <s v="David Martinez"/>
    <s v="P004"/>
    <s v="Coffee Maker"/>
    <x v="2"/>
    <n v="5"/>
    <n v="79.989999999999995"/>
    <x v="3"/>
    <x v="1"/>
    <x v="2"/>
    <d v="2023-02-24T00:00:00"/>
    <n v="399.95"/>
  </r>
  <r>
    <s v="TRX0006"/>
    <x v="26"/>
    <s v="CUST007"/>
    <s v="David Martinez"/>
    <s v="P005"/>
    <s v="Blender"/>
    <x v="2"/>
    <n v="2"/>
    <n v="59.99"/>
    <x v="2"/>
    <x v="3"/>
    <x v="0"/>
    <d v="2023-08-14T00:00:00"/>
    <n v="119.98"/>
  </r>
  <r>
    <s v="TRX0020"/>
    <x v="27"/>
    <s v="CUST007"/>
    <s v="David Martinez"/>
    <s v="P003"/>
    <s v="Headphones"/>
    <x v="1"/>
    <n v="4"/>
    <n v="149.99"/>
    <x v="3"/>
    <x v="4"/>
    <x v="1"/>
    <d v="2022-09-16T00:00:00"/>
    <n v="599.96"/>
  </r>
  <r>
    <s v="TRX0081"/>
    <x v="28"/>
    <s v="CUST007"/>
    <s v="David Martinez"/>
    <s v="P008"/>
    <s v="Bookshelf"/>
    <x v="0"/>
    <n v="1"/>
    <n v="149.99"/>
    <x v="3"/>
    <x v="2"/>
    <x v="0"/>
    <d v="2023-10-01T00:00:00"/>
    <n v="149.99"/>
  </r>
  <r>
    <s v="TRX0183"/>
    <x v="29"/>
    <s v="CUST007"/>
    <s v="David Martinez"/>
    <s v="P010"/>
    <s v="Keyboard"/>
    <x v="1"/>
    <n v="1"/>
    <n v="89.99"/>
    <x v="3"/>
    <x v="1"/>
    <x v="0"/>
    <d v="2022-07-18T00:00:00"/>
    <n v="89.99"/>
  </r>
  <r>
    <s v="TRX0008"/>
    <x v="30"/>
    <s v="CUST007"/>
    <s v="David Martinez"/>
    <s v="P008"/>
    <s v="Bookshelf"/>
    <x v="0"/>
    <n v="3"/>
    <n v="149.99"/>
    <x v="3"/>
    <x v="3"/>
    <x v="0"/>
    <d v="2021-11-22T00:00:00"/>
    <n v="449.97"/>
  </r>
  <r>
    <s v="TRX0015"/>
    <x v="31"/>
    <s v="CUST008"/>
    <s v="Jennifer Taylor"/>
    <s v="P002"/>
    <s v="Smartphone"/>
    <x v="1"/>
    <n v="5"/>
    <n v="699.99"/>
    <x v="0"/>
    <x v="0"/>
    <x v="0"/>
    <d v="2021-07-30T00:00:00"/>
    <n v="3499.95"/>
  </r>
  <r>
    <s v="TRX0150"/>
    <x v="32"/>
    <s v="CUST008"/>
    <s v="Jennifer Taylor"/>
    <s v="P007"/>
    <s v="Desk"/>
    <x v="0"/>
    <n v="2"/>
    <n v="299.99"/>
    <x v="3"/>
    <x v="2"/>
    <x v="0"/>
    <d v="2023-11-23T00:00:00"/>
    <n v="599.98"/>
  </r>
  <r>
    <s v="TRX0112"/>
    <x v="3"/>
    <s v="CUST008"/>
    <s v="Jennifer Taylor"/>
    <s v="P004"/>
    <s v="Coffee Maker"/>
    <x v="2"/>
    <n v="4"/>
    <n v="79.989999999999995"/>
    <x v="2"/>
    <x v="3"/>
    <x v="2"/>
    <d v="2021-11-30T00:00:00"/>
    <n v="319.95999999999998"/>
  </r>
  <r>
    <s v="TRX0036"/>
    <x v="20"/>
    <s v="CUST008"/>
    <s v="Jennifer Taylor"/>
    <s v="P004"/>
    <s v="Coffee Maker"/>
    <x v="2"/>
    <n v="4"/>
    <n v="79.989999999999995"/>
    <x v="3"/>
    <x v="2"/>
    <x v="0"/>
    <d v="2022-12-26T00:00:00"/>
    <n v="319.95999999999998"/>
  </r>
  <r>
    <s v="TRX0135"/>
    <x v="33"/>
    <s v="CUST009"/>
    <s v="Robert Thomas"/>
    <s v="P001"/>
    <s v="Laptop"/>
    <x v="1"/>
    <n v="3"/>
    <n v="899.99"/>
    <x v="0"/>
    <x v="2"/>
    <x v="0"/>
    <d v="2024-01-08T00:00:00"/>
    <n v="2699.97"/>
  </r>
  <r>
    <s v="TRX0007"/>
    <x v="34"/>
    <s v="CUST009"/>
    <s v="Robert Thomas"/>
    <s v="P010"/>
    <s v="Keyboard"/>
    <x v="1"/>
    <n v="2"/>
    <n v="89.99"/>
    <x v="2"/>
    <x v="0"/>
    <x v="2"/>
    <d v="2021-08-30T00:00:00"/>
    <n v="179.98"/>
  </r>
  <r>
    <s v="TRX0156"/>
    <x v="35"/>
    <s v="CUST009"/>
    <s v="Robert Thomas"/>
    <s v="P010"/>
    <s v="Keyboard"/>
    <x v="1"/>
    <n v="1"/>
    <n v="89.99"/>
    <x v="1"/>
    <x v="4"/>
    <x v="1"/>
    <d v="2022-01-30T00:00:00"/>
    <n v="89.99"/>
  </r>
  <r>
    <s v="TRX0072"/>
    <x v="36"/>
    <s v="CUST009"/>
    <s v="Robert Thomas"/>
    <s v="P008"/>
    <s v="Bookshelf"/>
    <x v="0"/>
    <n v="3"/>
    <n v="149.99"/>
    <x v="1"/>
    <x v="2"/>
    <x v="0"/>
    <d v="2021-07-18T00:00:00"/>
    <n v="449.97"/>
  </r>
  <r>
    <s v="TRX0116"/>
    <x v="37"/>
    <s v="CUST009"/>
    <s v="Robert Thomas"/>
    <s v="P010"/>
    <s v="Keyboard"/>
    <x v="1"/>
    <n v="1"/>
    <n v="89.99"/>
    <x v="3"/>
    <x v="2"/>
    <x v="2"/>
    <d v="2024-02-24T00:00:00"/>
    <n v="89.99"/>
  </r>
  <r>
    <s v="TRX0134"/>
    <x v="38"/>
    <s v="CUST010"/>
    <s v="Maria Garcia"/>
    <s v="P002"/>
    <s v="Smartphone"/>
    <x v="1"/>
    <n v="2"/>
    <n v="699.99"/>
    <x v="2"/>
    <x v="3"/>
    <x v="2"/>
    <d v="2022-08-08T00:00:00"/>
    <n v="1399.98"/>
  </r>
  <r>
    <s v="TRX0101"/>
    <x v="39"/>
    <s v="CUST010"/>
    <s v="Maria Garcia"/>
    <s v="P010"/>
    <s v="Keyboard"/>
    <x v="1"/>
    <n v="1"/>
    <n v="89.99"/>
    <x v="1"/>
    <x v="3"/>
    <x v="0"/>
    <d v="2024-04-11T00:00:00"/>
    <n v="89.99"/>
  </r>
  <r>
    <s v="TRX0146"/>
    <x v="40"/>
    <s v="CUST010"/>
    <s v="Maria Garcia"/>
    <s v="P005"/>
    <s v="Blender"/>
    <x v="2"/>
    <n v="2"/>
    <n v="59.99"/>
    <x v="1"/>
    <x v="1"/>
    <x v="2"/>
    <d v="2022-01-18T00:00:00"/>
    <n v="119.98"/>
  </r>
  <r>
    <s v="TRX0109"/>
    <x v="41"/>
    <s v="CUST010"/>
    <s v="Maria Garcia"/>
    <s v="P008"/>
    <s v="Bookshelf"/>
    <x v="0"/>
    <n v="2"/>
    <n v="149.99"/>
    <x v="1"/>
    <x v="0"/>
    <x v="1"/>
    <d v="2022-10-14T00:00:00"/>
    <n v="299.98"/>
  </r>
  <r>
    <s v="TRX0111"/>
    <x v="42"/>
    <s v="CUST011"/>
    <s v="William White"/>
    <s v="P003"/>
    <s v="Headphones"/>
    <x v="1"/>
    <n v="1"/>
    <n v="149.99"/>
    <x v="0"/>
    <x v="2"/>
    <x v="0"/>
    <d v="2021-10-13T00:00:00"/>
    <n v="149.99"/>
  </r>
  <r>
    <s v="TRX0137"/>
    <x v="43"/>
    <s v="CUST011"/>
    <s v="William White"/>
    <s v="P009"/>
    <s v="Monitor"/>
    <x v="1"/>
    <n v="4"/>
    <n v="249.99"/>
    <x v="0"/>
    <x v="2"/>
    <x v="1"/>
    <d v="2023-06-21T00:00:00"/>
    <n v="999.96"/>
  </r>
  <r>
    <s v="TRX0030"/>
    <x v="44"/>
    <s v="CUST011"/>
    <s v="William White"/>
    <s v="P001"/>
    <s v="Laptop"/>
    <x v="1"/>
    <n v="4"/>
    <n v="899.99"/>
    <x v="0"/>
    <x v="1"/>
    <x v="2"/>
    <d v="2022-06-22T00:00:00"/>
    <n v="3599.96"/>
  </r>
  <r>
    <s v="TRX0239"/>
    <x v="45"/>
    <s v="CUST012"/>
    <s v="Patricia Moore"/>
    <s v="P002"/>
    <s v="Smartphone"/>
    <x v="1"/>
    <n v="4"/>
    <n v="699.99"/>
    <x v="2"/>
    <x v="2"/>
    <x v="0"/>
    <d v="2021-08-01T00:00:00"/>
    <n v="2799.96"/>
  </r>
  <r>
    <s v="TRX0004"/>
    <x v="46"/>
    <s v="CUST012"/>
    <s v="Patricia Moore"/>
    <s v="P010"/>
    <s v="Keyboard"/>
    <x v="1"/>
    <n v="5"/>
    <n v="89.99"/>
    <x v="2"/>
    <x v="3"/>
    <x v="1"/>
    <d v="2022-12-24T00:00:00"/>
    <n v="449.95"/>
  </r>
  <r>
    <s v="TRX0232"/>
    <x v="47"/>
    <s v="CUST012"/>
    <s v="Patricia Moore"/>
    <s v="P007"/>
    <s v="Desk"/>
    <x v="0"/>
    <n v="3"/>
    <n v="299.99"/>
    <x v="1"/>
    <x v="2"/>
    <x v="2"/>
    <d v="2022-09-20T00:00:00"/>
    <n v="899.97"/>
  </r>
  <r>
    <s v="TRX0115"/>
    <x v="48"/>
    <s v="CUST012"/>
    <s v="Patricia Moore"/>
    <s v="P010"/>
    <s v="Keyboard"/>
    <x v="1"/>
    <n v="2"/>
    <n v="89.99"/>
    <x v="1"/>
    <x v="4"/>
    <x v="1"/>
    <d v="2021-10-02T00:00:00"/>
    <n v="179.98"/>
  </r>
  <r>
    <s v="TRX0104"/>
    <x v="49"/>
    <s v="CUST012"/>
    <s v="Patricia Moore"/>
    <s v="P001"/>
    <s v="Laptop"/>
    <x v="1"/>
    <n v="4"/>
    <n v="899.99"/>
    <x v="1"/>
    <x v="2"/>
    <x v="1"/>
    <d v="2023-03-08T00:00:00"/>
    <n v="3599.96"/>
  </r>
  <r>
    <s v="TRX0181"/>
    <x v="50"/>
    <s v="CUST012"/>
    <s v="Patricia Moore"/>
    <s v="P007"/>
    <s v="Desk"/>
    <x v="0"/>
    <n v="2"/>
    <n v="299.99"/>
    <x v="3"/>
    <x v="1"/>
    <x v="2"/>
    <d v="2022-01-08T00:00:00"/>
    <n v="599.98"/>
  </r>
  <r>
    <s v="TRX0060"/>
    <x v="51"/>
    <s v="CUST012"/>
    <s v="Patricia Moore"/>
    <s v="P010"/>
    <s v="Keyboard"/>
    <x v="1"/>
    <n v="3"/>
    <n v="89.99"/>
    <x v="1"/>
    <x v="3"/>
    <x v="1"/>
    <d v="2021-08-12T00:00:00"/>
    <n v="269.97000000000003"/>
  </r>
  <r>
    <s v="TRX0076"/>
    <x v="52"/>
    <s v="CUST012"/>
    <s v="Patricia Moore"/>
    <s v="P009"/>
    <s v="Monitor"/>
    <x v="1"/>
    <n v="4"/>
    <n v="249.99"/>
    <x v="1"/>
    <x v="0"/>
    <x v="0"/>
    <d v="2022-04-08T00:00:00"/>
    <n v="999.96"/>
  </r>
  <r>
    <s v="TRX0023"/>
    <x v="53"/>
    <s v="CUST013"/>
    <s v="Joseph Jackson"/>
    <s v="P009"/>
    <s v="Monitor"/>
    <x v="1"/>
    <n v="3"/>
    <n v="249.99"/>
    <x v="1"/>
    <x v="1"/>
    <x v="1"/>
    <d v="2022-01-14T00:00:00"/>
    <n v="749.97"/>
  </r>
  <r>
    <s v="TRX0234"/>
    <x v="54"/>
    <s v="CUST013"/>
    <s v="Joseph Jackson"/>
    <s v="P009"/>
    <s v="Monitor"/>
    <x v="1"/>
    <n v="5"/>
    <n v="249.99"/>
    <x v="1"/>
    <x v="2"/>
    <x v="0"/>
    <d v="2022-05-26T00:00:00"/>
    <n v="1249.95"/>
  </r>
  <r>
    <s v="TRX0018"/>
    <x v="55"/>
    <s v="CUST013"/>
    <s v="Joseph Jackson"/>
    <s v="P003"/>
    <s v="Headphones"/>
    <x v="1"/>
    <n v="1"/>
    <n v="149.99"/>
    <x v="2"/>
    <x v="1"/>
    <x v="0"/>
    <d v="2022-12-14T00:00:00"/>
    <n v="149.99"/>
  </r>
  <r>
    <s v="TRX0244"/>
    <x v="56"/>
    <s v="CUST013"/>
    <s v="Joseph Jackson"/>
    <s v="P001"/>
    <s v="Laptop"/>
    <x v="1"/>
    <n v="5"/>
    <n v="899.99"/>
    <x v="3"/>
    <x v="4"/>
    <x v="0"/>
    <d v="2022-12-04T00:00:00"/>
    <n v="4499.95"/>
  </r>
  <r>
    <s v="TRX0133"/>
    <x v="57"/>
    <s v="CUST013"/>
    <s v="Joseph Jackson"/>
    <s v="P003"/>
    <s v="Headphones"/>
    <x v="1"/>
    <n v="2"/>
    <n v="149.99"/>
    <x v="2"/>
    <x v="4"/>
    <x v="1"/>
    <d v="2021-10-06T00:00:00"/>
    <n v="299.98"/>
  </r>
  <r>
    <s v="TRX0235"/>
    <x v="46"/>
    <s v="CUST014"/>
    <s v="Linda Martin"/>
    <s v="P004"/>
    <s v="Coffee Maker"/>
    <x v="2"/>
    <n v="3"/>
    <n v="79.989999999999995"/>
    <x v="0"/>
    <x v="2"/>
    <x v="1"/>
    <d v="2023-03-27T00:00:00"/>
    <n v="239.97"/>
  </r>
  <r>
    <s v="TRX0119"/>
    <x v="58"/>
    <s v="CUST014"/>
    <s v="Linda Martin"/>
    <s v="P008"/>
    <s v="Bookshelf"/>
    <x v="0"/>
    <n v="3"/>
    <n v="149.99"/>
    <x v="0"/>
    <x v="2"/>
    <x v="2"/>
    <d v="2022-11-21T00:00:00"/>
    <n v="449.97"/>
  </r>
  <r>
    <s v="TRX0206"/>
    <x v="59"/>
    <s v="CUST014"/>
    <s v="Linda Martin"/>
    <s v="P008"/>
    <s v="Bookshelf"/>
    <x v="0"/>
    <n v="2"/>
    <n v="149.99"/>
    <x v="2"/>
    <x v="4"/>
    <x v="0"/>
    <d v="2023-06-24T00:00:00"/>
    <n v="299.98"/>
  </r>
  <r>
    <s v="TRX0164"/>
    <x v="30"/>
    <s v="CUST014"/>
    <s v="Linda Martin"/>
    <s v="P003"/>
    <s v="Headphones"/>
    <x v="1"/>
    <n v="2"/>
    <n v="149.99"/>
    <x v="3"/>
    <x v="0"/>
    <x v="1"/>
    <d v="2023-12-20T00:00:00"/>
    <n v="299.98"/>
  </r>
  <r>
    <s v="TRX0129"/>
    <x v="60"/>
    <s v="CUST015"/>
    <s v="Richard Lee"/>
    <s v="P006"/>
    <s v="Office Chair"/>
    <x v="0"/>
    <n v="1"/>
    <n v="199.99"/>
    <x v="3"/>
    <x v="2"/>
    <x v="0"/>
    <d v="2023-01-27T00:00:00"/>
    <n v="199.99"/>
  </r>
  <r>
    <s v="TRX0118"/>
    <x v="61"/>
    <s v="CUST015"/>
    <s v="Richard Lee"/>
    <s v="P008"/>
    <s v="Bookshelf"/>
    <x v="0"/>
    <n v="2"/>
    <n v="149.99"/>
    <x v="2"/>
    <x v="4"/>
    <x v="1"/>
    <d v="2022-06-16T00:00:00"/>
    <n v="299.98"/>
  </r>
  <r>
    <s v="TRX0229"/>
    <x v="62"/>
    <s v="CUST015"/>
    <s v="Richard Lee"/>
    <s v="P005"/>
    <s v="Blender"/>
    <x v="2"/>
    <n v="4"/>
    <n v="59.99"/>
    <x v="2"/>
    <x v="0"/>
    <x v="0"/>
    <d v="2023-05-24T00:00:00"/>
    <n v="239.96"/>
  </r>
  <r>
    <s v="TRX0065"/>
    <x v="63"/>
    <s v="CUST016"/>
    <s v="Elizabeth Hall"/>
    <s v="P008"/>
    <s v="Bookshelf"/>
    <x v="0"/>
    <n v="2"/>
    <n v="149.99"/>
    <x v="1"/>
    <x v="0"/>
    <x v="2"/>
    <d v="2021-12-12T00:00:00"/>
    <n v="299.98"/>
  </r>
  <r>
    <s v="TRX0055"/>
    <x v="64"/>
    <s v="CUST016"/>
    <s v="Elizabeth Hall"/>
    <s v="P002"/>
    <s v="Smartphone"/>
    <x v="1"/>
    <n v="2"/>
    <n v="699.99"/>
    <x v="3"/>
    <x v="2"/>
    <x v="1"/>
    <d v="2023-12-14T00:00:00"/>
    <n v="1399.98"/>
  </r>
  <r>
    <s v="TRX0059"/>
    <x v="36"/>
    <s v="CUST016"/>
    <s v="Elizabeth Hall"/>
    <s v="P007"/>
    <s v="Desk"/>
    <x v="0"/>
    <n v="5"/>
    <n v="299.99"/>
    <x v="3"/>
    <x v="1"/>
    <x v="2"/>
    <d v="2021-08-23T00:00:00"/>
    <n v="1499.95"/>
  </r>
  <r>
    <s v="TRX0062"/>
    <x v="65"/>
    <s v="CUST016"/>
    <s v="Elizabeth Hall"/>
    <s v="P010"/>
    <s v="Keyboard"/>
    <x v="1"/>
    <n v="5"/>
    <n v="89.99"/>
    <x v="0"/>
    <x v="0"/>
    <x v="1"/>
    <d v="2023-08-02T00:00:00"/>
    <n v="449.95"/>
  </r>
  <r>
    <s v="TRX0240"/>
    <x v="66"/>
    <s v="CUST017"/>
    <s v="Charles Allen"/>
    <s v="P005"/>
    <s v="Blender"/>
    <x v="2"/>
    <n v="3"/>
    <n v="59.99"/>
    <x v="3"/>
    <x v="4"/>
    <x v="2"/>
    <d v="2023-03-22T00:00:00"/>
    <n v="179.97"/>
  </r>
  <r>
    <s v="TRX0029"/>
    <x v="67"/>
    <s v="CUST017"/>
    <s v="Charles Allen"/>
    <s v="P006"/>
    <s v="Office Chair"/>
    <x v="0"/>
    <n v="5"/>
    <n v="199.99"/>
    <x v="2"/>
    <x v="4"/>
    <x v="0"/>
    <d v="2021-08-04T00:00:00"/>
    <n v="999.95"/>
  </r>
  <r>
    <s v="TRX0117"/>
    <x v="68"/>
    <s v="CUST017"/>
    <s v="Charles Allen"/>
    <s v="P010"/>
    <s v="Keyboard"/>
    <x v="1"/>
    <n v="1"/>
    <n v="89.99"/>
    <x v="2"/>
    <x v="3"/>
    <x v="2"/>
    <d v="2023-08-03T00:00:00"/>
    <n v="89.99"/>
  </r>
  <r>
    <s v="TRX0192"/>
    <x v="69"/>
    <s v="CUST017"/>
    <s v="Charles Allen"/>
    <s v="P010"/>
    <s v="Keyboard"/>
    <x v="1"/>
    <n v="1"/>
    <n v="89.99"/>
    <x v="0"/>
    <x v="0"/>
    <x v="0"/>
    <d v="2022-08-29T00:00:00"/>
    <n v="89.99"/>
  </r>
  <r>
    <s v="TRX0161"/>
    <x v="70"/>
    <s v="CUST017"/>
    <s v="Charles Allen"/>
    <s v="P004"/>
    <s v="Coffee Maker"/>
    <x v="2"/>
    <n v="1"/>
    <n v="79.989999999999995"/>
    <x v="2"/>
    <x v="0"/>
    <x v="2"/>
    <d v="2022-05-12T00:00:00"/>
    <n v="79.989999999999995"/>
  </r>
  <r>
    <s v="TRX0094"/>
    <x v="57"/>
    <s v="CUST017"/>
    <s v="Charles Allen"/>
    <s v="P009"/>
    <s v="Monitor"/>
    <x v="1"/>
    <n v="5"/>
    <n v="249.99"/>
    <x v="2"/>
    <x v="1"/>
    <x v="1"/>
    <d v="2021-10-16T00:00:00"/>
    <n v="1249.95"/>
  </r>
  <r>
    <s v="TRX0083"/>
    <x v="71"/>
    <s v="CUST017"/>
    <s v="Charles Allen"/>
    <s v="P007"/>
    <s v="Desk"/>
    <x v="0"/>
    <n v="5"/>
    <n v="299.99"/>
    <x v="2"/>
    <x v="0"/>
    <x v="0"/>
    <d v="2023-08-04T00:00:00"/>
    <n v="1499.95"/>
  </r>
  <r>
    <s v="TRX0227"/>
    <x v="72"/>
    <s v="CUST017"/>
    <s v="Charles Allen"/>
    <s v="P008"/>
    <s v="Bookshelf"/>
    <x v="0"/>
    <n v="2"/>
    <n v="149.99"/>
    <x v="2"/>
    <x v="1"/>
    <x v="2"/>
    <d v="2023-05-22T00:00:00"/>
    <n v="299.98"/>
  </r>
  <r>
    <s v="TRX0199"/>
    <x v="73"/>
    <s v="CUST017"/>
    <s v="Charles Allen"/>
    <s v="P008"/>
    <s v="Bookshelf"/>
    <x v="0"/>
    <n v="4"/>
    <n v="149.99"/>
    <x v="2"/>
    <x v="1"/>
    <x v="0"/>
    <d v="2023-12-03T00:00:00"/>
    <n v="599.96"/>
  </r>
  <r>
    <s v="TRX0231"/>
    <x v="74"/>
    <s v="CUST018"/>
    <s v="Barbara Young"/>
    <s v="P002"/>
    <s v="Smartphone"/>
    <x v="1"/>
    <n v="5"/>
    <n v="699.99"/>
    <x v="2"/>
    <x v="0"/>
    <x v="2"/>
    <d v="2023-08-29T00:00:00"/>
    <n v="3499.95"/>
  </r>
  <r>
    <s v="TRX0114"/>
    <x v="8"/>
    <s v="CUST018"/>
    <s v="Barbara Young"/>
    <s v="P010"/>
    <s v="Keyboard"/>
    <x v="1"/>
    <n v="5"/>
    <n v="89.99"/>
    <x v="3"/>
    <x v="3"/>
    <x v="1"/>
    <d v="2023-08-23T00:00:00"/>
    <n v="449.95"/>
  </r>
  <r>
    <s v="TRX0080"/>
    <x v="75"/>
    <s v="CUST018"/>
    <s v="Barbara Young"/>
    <s v="P009"/>
    <s v="Monitor"/>
    <x v="1"/>
    <n v="2"/>
    <n v="249.99"/>
    <x v="2"/>
    <x v="3"/>
    <x v="1"/>
    <d v="2023-08-26T00:00:00"/>
    <n v="499.98"/>
  </r>
  <r>
    <s v="TRX0173"/>
    <x v="76"/>
    <s v="CUST018"/>
    <s v="Barbara Young"/>
    <s v="P002"/>
    <s v="Smartphone"/>
    <x v="1"/>
    <n v="5"/>
    <n v="699.99"/>
    <x v="2"/>
    <x v="2"/>
    <x v="0"/>
    <d v="2023-03-23T00:00:00"/>
    <n v="3499.95"/>
  </r>
  <r>
    <s v="TRX0214"/>
    <x v="77"/>
    <s v="CUST018"/>
    <s v="Barbara Young"/>
    <s v="P001"/>
    <s v="Laptop"/>
    <x v="1"/>
    <n v="3"/>
    <n v="899.99"/>
    <x v="2"/>
    <x v="2"/>
    <x v="0"/>
    <d v="2022-02-21T00:00:00"/>
    <n v="2699.97"/>
  </r>
  <r>
    <s v="TRX0042"/>
    <x v="78"/>
    <s v="CUST019"/>
    <s v="Daniel King"/>
    <s v="P004"/>
    <s v="Coffee Maker"/>
    <x v="2"/>
    <n v="1"/>
    <n v="79.989999999999995"/>
    <x v="2"/>
    <x v="3"/>
    <x v="0"/>
    <d v="2022-12-22T00:00:00"/>
    <n v="79.989999999999995"/>
  </r>
  <r>
    <s v="TRX0228"/>
    <x v="75"/>
    <s v="CUST019"/>
    <s v="Daniel King"/>
    <s v="P007"/>
    <s v="Desk"/>
    <x v="0"/>
    <n v="1"/>
    <n v="299.99"/>
    <x v="2"/>
    <x v="4"/>
    <x v="2"/>
    <d v="2023-02-25T00:00:00"/>
    <n v="299.99"/>
  </r>
  <r>
    <s v="TRX0002"/>
    <x v="79"/>
    <s v="CUST019"/>
    <s v="Daniel King"/>
    <s v="P007"/>
    <s v="Desk"/>
    <x v="0"/>
    <n v="3"/>
    <n v="299.99"/>
    <x v="2"/>
    <x v="1"/>
    <x v="2"/>
    <d v="2022-06-20T00:00:00"/>
    <n v="899.97"/>
  </r>
  <r>
    <s v="TRX0077"/>
    <x v="42"/>
    <s v="CUST019"/>
    <s v="Daniel King"/>
    <s v="P010"/>
    <s v="Keyboard"/>
    <x v="1"/>
    <n v="5"/>
    <n v="89.99"/>
    <x v="1"/>
    <x v="2"/>
    <x v="1"/>
    <d v="2021-09-07T00:00:00"/>
    <n v="449.95"/>
  </r>
  <r>
    <s v="TRX0085"/>
    <x v="80"/>
    <s v="CUST019"/>
    <s v="Daniel King"/>
    <s v="P007"/>
    <s v="Desk"/>
    <x v="0"/>
    <n v="3"/>
    <n v="299.99"/>
    <x v="1"/>
    <x v="1"/>
    <x v="0"/>
    <d v="2023-09-05T00:00:00"/>
    <n v="899.97"/>
  </r>
  <r>
    <s v="TRX0163"/>
    <x v="29"/>
    <s v="CUST019"/>
    <s v="Daniel King"/>
    <s v="P001"/>
    <s v="Laptop"/>
    <x v="1"/>
    <n v="5"/>
    <n v="899.99"/>
    <x v="3"/>
    <x v="2"/>
    <x v="0"/>
    <d v="2022-03-05T00:00:00"/>
    <n v="4499.95"/>
  </r>
  <r>
    <s v="TRX0056"/>
    <x v="81"/>
    <s v="CUST019"/>
    <s v="Daniel King"/>
    <s v="P010"/>
    <s v="Keyboard"/>
    <x v="1"/>
    <n v="2"/>
    <n v="89.99"/>
    <x v="1"/>
    <x v="4"/>
    <x v="1"/>
    <d v="2022-01-03T00:00:00"/>
    <n v="179.98"/>
  </r>
  <r>
    <s v="TRX0086"/>
    <x v="8"/>
    <s v="CUST020"/>
    <s v="Margaret Wright"/>
    <s v="P008"/>
    <s v="Bookshelf"/>
    <x v="0"/>
    <n v="1"/>
    <n v="149.99"/>
    <x v="0"/>
    <x v="3"/>
    <x v="2"/>
    <d v="2021-08-13T00:00:00"/>
    <n v="149.99"/>
  </r>
  <r>
    <s v="TRX0075"/>
    <x v="27"/>
    <s v="CUST020"/>
    <s v="Margaret Wright"/>
    <s v="P009"/>
    <s v="Monitor"/>
    <x v="1"/>
    <n v="5"/>
    <n v="249.99"/>
    <x v="0"/>
    <x v="2"/>
    <x v="1"/>
    <d v="2022-08-09T00:00:00"/>
    <n v="1249.95"/>
  </r>
  <r>
    <s v="TRX0090"/>
    <x v="82"/>
    <s v="CUST020"/>
    <s v="Margaret Wright"/>
    <s v="P009"/>
    <s v="Monitor"/>
    <x v="1"/>
    <n v="1"/>
    <n v="249.99"/>
    <x v="1"/>
    <x v="3"/>
    <x v="1"/>
    <d v="2022-09-24T00:00:00"/>
    <n v="249.99"/>
  </r>
  <r>
    <s v="TRX0213"/>
    <x v="83"/>
    <s v="CUST020"/>
    <s v="Margaret Wright"/>
    <s v="P010"/>
    <s v="Keyboard"/>
    <x v="1"/>
    <n v="5"/>
    <n v="89.99"/>
    <x v="0"/>
    <x v="4"/>
    <x v="2"/>
    <d v="2022-05-23T00:00:00"/>
    <n v="449.95"/>
  </r>
  <r>
    <s v="TRX0139"/>
    <x v="84"/>
    <s v="CUST021"/>
    <s v="Kevin Scott"/>
    <s v="P005"/>
    <s v="Blender"/>
    <x v="2"/>
    <n v="3"/>
    <n v="59.99"/>
    <x v="0"/>
    <x v="4"/>
    <x v="0"/>
    <d v="2023-12-02T00:00:00"/>
    <n v="179.97"/>
  </r>
  <r>
    <s v="TRX0041"/>
    <x v="85"/>
    <s v="CUST021"/>
    <s v="Kevin Scott"/>
    <s v="P001"/>
    <s v="Laptop"/>
    <x v="1"/>
    <n v="1"/>
    <n v="899.99"/>
    <x v="1"/>
    <x v="0"/>
    <x v="1"/>
    <d v="2022-01-17T00:00:00"/>
    <n v="899.99"/>
  </r>
  <r>
    <s v="TRX0078"/>
    <x v="34"/>
    <s v="CUST021"/>
    <s v="Kevin Scott"/>
    <s v="P004"/>
    <s v="Coffee Maker"/>
    <x v="2"/>
    <n v="1"/>
    <n v="79.989999999999995"/>
    <x v="0"/>
    <x v="1"/>
    <x v="1"/>
    <d v="2024-03-01T00:00:00"/>
    <n v="79.989999999999995"/>
  </r>
  <r>
    <s v="TRX0045"/>
    <x v="57"/>
    <s v="CUST021"/>
    <s v="Kevin Scott"/>
    <s v="P007"/>
    <s v="Desk"/>
    <x v="0"/>
    <n v="3"/>
    <n v="299.99"/>
    <x v="2"/>
    <x v="4"/>
    <x v="1"/>
    <d v="2022-04-08T00:00:00"/>
    <n v="899.97"/>
  </r>
  <r>
    <s v="TRX0171"/>
    <x v="86"/>
    <s v="CUST021"/>
    <s v="Kevin Scott"/>
    <s v="P007"/>
    <s v="Desk"/>
    <x v="0"/>
    <n v="2"/>
    <n v="299.99"/>
    <x v="0"/>
    <x v="4"/>
    <x v="2"/>
    <d v="2022-06-09T00:00:00"/>
    <n v="599.98"/>
  </r>
  <r>
    <s v="TRX0089"/>
    <x v="87"/>
    <s v="CUST021"/>
    <s v="Kevin Scott"/>
    <s v="P006"/>
    <s v="Office Chair"/>
    <x v="0"/>
    <n v="3"/>
    <n v="199.99"/>
    <x v="2"/>
    <x v="1"/>
    <x v="2"/>
    <d v="2022-06-23T00:00:00"/>
    <n v="599.97"/>
  </r>
  <r>
    <s v="TRX0138"/>
    <x v="88"/>
    <s v="CUST022"/>
    <s v="Susan Green"/>
    <s v="P008"/>
    <s v="Bookshelf"/>
    <x v="0"/>
    <n v="1"/>
    <n v="149.99"/>
    <x v="1"/>
    <x v="0"/>
    <x v="0"/>
    <d v="2023-06-26T00:00:00"/>
    <n v="149.99"/>
  </r>
  <r>
    <s v="TRX0040"/>
    <x v="46"/>
    <s v="CUST022"/>
    <s v="Susan Green"/>
    <s v="P007"/>
    <s v="Desk"/>
    <x v="0"/>
    <n v="5"/>
    <n v="299.99"/>
    <x v="0"/>
    <x v="2"/>
    <x v="2"/>
    <d v="2023-08-30T00:00:00"/>
    <n v="1499.95"/>
  </r>
  <r>
    <s v="TRX0052"/>
    <x v="25"/>
    <s v="CUST022"/>
    <s v="Susan Green"/>
    <s v="P010"/>
    <s v="Keyboard"/>
    <x v="1"/>
    <n v="1"/>
    <n v="89.99"/>
    <x v="2"/>
    <x v="4"/>
    <x v="0"/>
    <d v="2022-02-19T00:00:00"/>
    <n v="89.99"/>
  </r>
  <r>
    <s v="TRX0126"/>
    <x v="89"/>
    <s v="CUST022"/>
    <s v="Susan Green"/>
    <s v="P005"/>
    <s v="Blender"/>
    <x v="2"/>
    <n v="4"/>
    <n v="59.99"/>
    <x v="3"/>
    <x v="2"/>
    <x v="0"/>
    <d v="2022-01-03T00:00:00"/>
    <n v="239.96"/>
  </r>
  <r>
    <s v="TRX0155"/>
    <x v="90"/>
    <s v="CUST023"/>
    <s v="Paul Baker"/>
    <s v="P009"/>
    <s v="Monitor"/>
    <x v="1"/>
    <n v="3"/>
    <n v="249.99"/>
    <x v="2"/>
    <x v="1"/>
    <x v="2"/>
    <d v="2021-08-17T00:00:00"/>
    <n v="749.97"/>
  </r>
  <r>
    <s v="TRX0154"/>
    <x v="48"/>
    <s v="CUST023"/>
    <s v="Paul Baker"/>
    <s v="P001"/>
    <s v="Laptop"/>
    <x v="1"/>
    <n v="5"/>
    <n v="899.99"/>
    <x v="1"/>
    <x v="4"/>
    <x v="0"/>
    <d v="2023-02-17T00:00:00"/>
    <n v="4499.95"/>
  </r>
  <r>
    <s v="TRX0074"/>
    <x v="91"/>
    <s v="CUST023"/>
    <s v="Paul Baker"/>
    <s v="P009"/>
    <s v="Monitor"/>
    <x v="1"/>
    <n v="1"/>
    <n v="249.99"/>
    <x v="3"/>
    <x v="3"/>
    <x v="1"/>
    <d v="2024-02-10T00:00:00"/>
    <n v="249.99"/>
  </r>
  <r>
    <s v="TRX0057"/>
    <x v="92"/>
    <s v="CUST023"/>
    <s v="Paul Baker"/>
    <s v="P009"/>
    <s v="Monitor"/>
    <x v="1"/>
    <n v="5"/>
    <n v="249.99"/>
    <x v="1"/>
    <x v="4"/>
    <x v="0"/>
    <d v="2022-11-16T00:00:00"/>
    <n v="1249.95"/>
  </r>
  <r>
    <s v="TRX0172"/>
    <x v="52"/>
    <s v="CUST023"/>
    <s v="Paul Baker"/>
    <s v="P005"/>
    <s v="Blender"/>
    <x v="2"/>
    <n v="5"/>
    <n v="59.99"/>
    <x v="0"/>
    <x v="0"/>
    <x v="1"/>
    <d v="2022-05-13T00:00:00"/>
    <n v="299.95"/>
  </r>
  <r>
    <s v="TRX0196"/>
    <x v="87"/>
    <s v="CUST023"/>
    <s v="Paul Baker"/>
    <s v="P010"/>
    <s v="Keyboard"/>
    <x v="1"/>
    <n v="2"/>
    <n v="89.99"/>
    <x v="0"/>
    <x v="1"/>
    <x v="2"/>
    <d v="2023-11-27T00:00:00"/>
    <n v="179.98"/>
  </r>
  <r>
    <s v="TRX0233"/>
    <x v="93"/>
    <s v="CUST023"/>
    <s v="Paul Baker"/>
    <s v="P010"/>
    <s v="Keyboard"/>
    <x v="1"/>
    <n v="2"/>
    <n v="89.99"/>
    <x v="1"/>
    <x v="0"/>
    <x v="1"/>
    <d v="2024-01-04T00:00:00"/>
    <n v="179.98"/>
  </r>
  <r>
    <s v="TRX0019"/>
    <x v="94"/>
    <s v="CUST023"/>
    <s v="Paul Baker"/>
    <s v="P007"/>
    <s v="Desk"/>
    <x v="0"/>
    <n v="3"/>
    <n v="299.99"/>
    <x v="1"/>
    <x v="0"/>
    <x v="1"/>
    <d v="2023-11-04T00:00:00"/>
    <n v="899.97"/>
  </r>
  <r>
    <s v="TRX0092"/>
    <x v="66"/>
    <s v="CUST024"/>
    <s v="Dorothy Nelson"/>
    <s v="P005"/>
    <s v="Blender"/>
    <x v="2"/>
    <n v="2"/>
    <n v="59.99"/>
    <x v="2"/>
    <x v="0"/>
    <x v="0"/>
    <d v="2022-07-04T00:00:00"/>
    <n v="119.98"/>
  </r>
  <r>
    <s v="TRX0193"/>
    <x v="66"/>
    <s v="CUST024"/>
    <s v="Dorothy Nelson"/>
    <s v="P003"/>
    <s v="Headphones"/>
    <x v="1"/>
    <n v="5"/>
    <n v="149.99"/>
    <x v="1"/>
    <x v="1"/>
    <x v="0"/>
    <d v="2021-08-10T00:00:00"/>
    <n v="749.95"/>
  </r>
  <r>
    <s v="TRX0108"/>
    <x v="95"/>
    <s v="CUST024"/>
    <s v="Dorothy Nelson"/>
    <s v="P007"/>
    <s v="Desk"/>
    <x v="0"/>
    <n v="3"/>
    <n v="299.99"/>
    <x v="1"/>
    <x v="1"/>
    <x v="1"/>
    <d v="2021-10-25T00:00:00"/>
    <n v="899.97"/>
  </r>
  <r>
    <s v="TRX0066"/>
    <x v="96"/>
    <s v="CUST024"/>
    <s v="Dorothy Nelson"/>
    <s v="P002"/>
    <s v="Smartphone"/>
    <x v="1"/>
    <n v="4"/>
    <n v="699.99"/>
    <x v="1"/>
    <x v="3"/>
    <x v="1"/>
    <d v="2022-05-22T00:00:00"/>
    <n v="2799.96"/>
  </r>
  <r>
    <s v="TRX0159"/>
    <x v="97"/>
    <s v="CUST024"/>
    <s v="Dorothy Nelson"/>
    <s v="P009"/>
    <s v="Monitor"/>
    <x v="1"/>
    <n v="4"/>
    <n v="249.99"/>
    <x v="3"/>
    <x v="1"/>
    <x v="1"/>
    <d v="2023-10-18T00:00:00"/>
    <n v="999.96"/>
  </r>
  <r>
    <s v="TRX0013"/>
    <x v="5"/>
    <s v="CUST024"/>
    <s v="Dorothy Nelson"/>
    <s v="P001"/>
    <s v="Laptop"/>
    <x v="1"/>
    <n v="3"/>
    <n v="899.99"/>
    <x v="0"/>
    <x v="3"/>
    <x v="2"/>
    <d v="2023-02-18T00:00:00"/>
    <n v="2699.97"/>
  </r>
  <r>
    <s v="TRX0049"/>
    <x v="38"/>
    <s v="CUST025"/>
    <s v="Mark Carter"/>
    <s v="P008"/>
    <s v="Bookshelf"/>
    <x v="0"/>
    <n v="4"/>
    <n v="149.99"/>
    <x v="3"/>
    <x v="3"/>
    <x v="1"/>
    <d v="2024-03-23T00:00:00"/>
    <n v="599.96"/>
  </r>
  <r>
    <s v="TRX0122"/>
    <x v="38"/>
    <s v="CUST025"/>
    <s v="Mark Carter"/>
    <s v="P001"/>
    <s v="Laptop"/>
    <x v="1"/>
    <n v="4"/>
    <n v="899.99"/>
    <x v="1"/>
    <x v="0"/>
    <x v="0"/>
    <d v="2024-02-05T00:00:00"/>
    <n v="3599.96"/>
  </r>
  <r>
    <s v="TRX0242"/>
    <x v="98"/>
    <s v="CUST025"/>
    <s v="Mark Carter"/>
    <s v="P007"/>
    <s v="Desk"/>
    <x v="0"/>
    <n v="4"/>
    <n v="299.99"/>
    <x v="2"/>
    <x v="0"/>
    <x v="1"/>
    <d v="2022-06-04T00:00:00"/>
    <n v="1199.96"/>
  </r>
  <r>
    <s v="TRX0157"/>
    <x v="79"/>
    <s v="CUST025"/>
    <s v="Mark Carter"/>
    <s v="P010"/>
    <s v="Keyboard"/>
    <x v="1"/>
    <n v="2"/>
    <n v="89.99"/>
    <x v="0"/>
    <x v="4"/>
    <x v="2"/>
    <d v="2023-02-19T00:00:00"/>
    <n v="179.98"/>
  </r>
  <r>
    <s v="TRX0217"/>
    <x v="99"/>
    <s v="CUST025"/>
    <s v="Mark Carter"/>
    <s v="P002"/>
    <s v="Smartphone"/>
    <x v="1"/>
    <n v="2"/>
    <n v="699.99"/>
    <x v="1"/>
    <x v="3"/>
    <x v="1"/>
    <d v="2023-03-14T00:00:00"/>
    <n v="1399.98"/>
  </r>
  <r>
    <s v="TRX0205"/>
    <x v="100"/>
    <s v="CUST025"/>
    <s v="Mark Carter"/>
    <s v="P007"/>
    <s v="Desk"/>
    <x v="0"/>
    <n v="5"/>
    <n v="299.99"/>
    <x v="1"/>
    <x v="3"/>
    <x v="2"/>
    <d v="2023-02-08T00:00:00"/>
    <n v="1499.95"/>
  </r>
  <r>
    <s v="TRX0140"/>
    <x v="101"/>
    <s v="CUST025"/>
    <s v="Mark Carter"/>
    <s v="P010"/>
    <s v="Keyboard"/>
    <x v="1"/>
    <n v="2"/>
    <n v="89.99"/>
    <x v="2"/>
    <x v="2"/>
    <x v="1"/>
    <d v="2023-02-15T00:00:00"/>
    <n v="179.98"/>
  </r>
  <r>
    <s v="TRX0033"/>
    <x v="102"/>
    <s v="CUST025"/>
    <s v="Mark Carter"/>
    <s v="P002"/>
    <s v="Smartphone"/>
    <x v="1"/>
    <n v="2"/>
    <n v="699.99"/>
    <x v="0"/>
    <x v="0"/>
    <x v="0"/>
    <d v="2022-07-28T00:00:00"/>
    <n v="1399.98"/>
  </r>
  <r>
    <s v="TRX0201"/>
    <x v="57"/>
    <s v="CUST025"/>
    <s v="Mark Carter"/>
    <s v="P002"/>
    <s v="Smartphone"/>
    <x v="1"/>
    <n v="5"/>
    <n v="699.99"/>
    <x v="3"/>
    <x v="0"/>
    <x v="0"/>
    <d v="2023-01-18T00:00:00"/>
    <n v="3499.95"/>
  </r>
  <r>
    <s v="TRX0207"/>
    <x v="103"/>
    <s v="CUST025"/>
    <s v="Mark Carter"/>
    <s v="P001"/>
    <s v="Laptop"/>
    <x v="1"/>
    <n v="1"/>
    <n v="899.99"/>
    <x v="0"/>
    <x v="3"/>
    <x v="1"/>
    <d v="2023-05-04T00:00:00"/>
    <n v="899.99"/>
  </r>
  <r>
    <s v="TRX0022"/>
    <x v="104"/>
    <s v="CUST025"/>
    <s v="Mark Carter"/>
    <s v="P007"/>
    <s v="Desk"/>
    <x v="0"/>
    <n v="1"/>
    <n v="299.99"/>
    <x v="1"/>
    <x v="3"/>
    <x v="2"/>
    <d v="2021-08-28T00:00:00"/>
    <n v="299.99"/>
  </r>
  <r>
    <s v="TRX0178"/>
    <x v="44"/>
    <s v="CUST025"/>
    <s v="Mark Carter"/>
    <s v="P007"/>
    <s v="Desk"/>
    <x v="0"/>
    <n v="3"/>
    <n v="299.99"/>
    <x v="3"/>
    <x v="0"/>
    <x v="0"/>
    <d v="2023-01-26T00:00:00"/>
    <n v="899.97"/>
  </r>
  <r>
    <s v="TRX0185"/>
    <x v="88"/>
    <s v="CUST026"/>
    <s v="Karen Hill"/>
    <s v="P005"/>
    <s v="Blender"/>
    <x v="2"/>
    <n v="3"/>
    <n v="59.99"/>
    <x v="2"/>
    <x v="0"/>
    <x v="1"/>
    <d v="2023-10-08T00:00:00"/>
    <n v="179.97"/>
  </r>
  <r>
    <s v="TRX0131"/>
    <x v="105"/>
    <s v="CUST026"/>
    <s v="Karen Hill"/>
    <s v="P006"/>
    <s v="Office Chair"/>
    <x v="0"/>
    <n v="3"/>
    <n v="199.99"/>
    <x v="2"/>
    <x v="3"/>
    <x v="1"/>
    <d v="2023-11-24T00:00:00"/>
    <n v="599.97"/>
  </r>
  <r>
    <s v="TRX0098"/>
    <x v="27"/>
    <s v="CUST026"/>
    <s v="Karen Hill"/>
    <s v="P009"/>
    <s v="Monitor"/>
    <x v="1"/>
    <n v="3"/>
    <n v="249.99"/>
    <x v="0"/>
    <x v="3"/>
    <x v="1"/>
    <d v="2021-09-26T00:00:00"/>
    <n v="749.97"/>
  </r>
  <r>
    <s v="TRX0195"/>
    <x v="16"/>
    <s v="CUST026"/>
    <s v="Karen Hill"/>
    <s v="P009"/>
    <s v="Monitor"/>
    <x v="1"/>
    <n v="2"/>
    <n v="249.99"/>
    <x v="0"/>
    <x v="4"/>
    <x v="2"/>
    <d v="2023-03-08T00:00:00"/>
    <n v="499.98"/>
  </r>
  <r>
    <s v="TRX0017"/>
    <x v="106"/>
    <s v="CUST026"/>
    <s v="Karen Hill"/>
    <s v="P007"/>
    <s v="Desk"/>
    <x v="0"/>
    <n v="3"/>
    <n v="299.99"/>
    <x v="1"/>
    <x v="4"/>
    <x v="0"/>
    <d v="2021-11-02T00:00:00"/>
    <n v="899.97"/>
  </r>
  <r>
    <s v="TRX0125"/>
    <x v="107"/>
    <s v="CUST026"/>
    <s v="Karen Hill"/>
    <s v="P002"/>
    <s v="Smartphone"/>
    <x v="1"/>
    <n v="3"/>
    <n v="699.99"/>
    <x v="1"/>
    <x v="1"/>
    <x v="1"/>
    <d v="2023-06-28T00:00:00"/>
    <n v="2099.9699999999998"/>
  </r>
  <r>
    <s v="TRX0010"/>
    <x v="13"/>
    <s v="CUST026"/>
    <s v="Karen Hill"/>
    <s v="P002"/>
    <s v="Smartphone"/>
    <x v="1"/>
    <n v="4"/>
    <n v="699.99"/>
    <x v="3"/>
    <x v="0"/>
    <x v="1"/>
    <d v="2022-05-11T00:00:00"/>
    <n v="2799.96"/>
  </r>
  <r>
    <s v="TRX0250"/>
    <x v="108"/>
    <s v="CUST026"/>
    <s v="Karen Hill"/>
    <s v="P010"/>
    <s v="Keyboard"/>
    <x v="1"/>
    <n v="2"/>
    <n v="89.99"/>
    <x v="3"/>
    <x v="0"/>
    <x v="1"/>
    <d v="2021-11-22T00:00:00"/>
    <n v="179.98"/>
  </r>
  <r>
    <s v="TRX0230"/>
    <x v="109"/>
    <s v="CUST027"/>
    <s v="George Adams"/>
    <s v="P001"/>
    <s v="Laptop"/>
    <x v="1"/>
    <n v="1"/>
    <n v="899.99"/>
    <x v="3"/>
    <x v="3"/>
    <x v="0"/>
    <d v="2022-12-25T00:00:00"/>
    <n v="899.99"/>
  </r>
  <r>
    <s v="TRX0158"/>
    <x v="110"/>
    <s v="CUST027"/>
    <s v="George Adams"/>
    <s v="P001"/>
    <s v="Laptop"/>
    <x v="1"/>
    <n v="3"/>
    <n v="899.99"/>
    <x v="0"/>
    <x v="0"/>
    <x v="2"/>
    <d v="2023-10-16T00:00:00"/>
    <n v="2699.97"/>
  </r>
  <r>
    <s v="TRX0149"/>
    <x v="18"/>
    <s v="CUST027"/>
    <s v="George Adams"/>
    <s v="P005"/>
    <s v="Blender"/>
    <x v="2"/>
    <n v="3"/>
    <n v="59.99"/>
    <x v="3"/>
    <x v="4"/>
    <x v="0"/>
    <d v="2023-11-30T00:00:00"/>
    <n v="179.97"/>
  </r>
  <r>
    <s v="TRX0121"/>
    <x v="54"/>
    <s v="CUST028"/>
    <s v="Betty Campbell"/>
    <s v="P010"/>
    <s v="Keyboard"/>
    <x v="1"/>
    <n v="1"/>
    <n v="89.99"/>
    <x v="1"/>
    <x v="4"/>
    <x v="0"/>
    <d v="2022-01-21T00:00:00"/>
    <n v="89.99"/>
  </r>
  <r>
    <s v="TRX0061"/>
    <x v="32"/>
    <s v="CUST028"/>
    <s v="Betty Campbell"/>
    <s v="P005"/>
    <s v="Blender"/>
    <x v="2"/>
    <n v="1"/>
    <n v="59.99"/>
    <x v="3"/>
    <x v="0"/>
    <x v="1"/>
    <d v="2023-09-21T00:00:00"/>
    <n v="59.99"/>
  </r>
  <r>
    <s v="TRX0027"/>
    <x v="111"/>
    <s v="CUST028"/>
    <s v="Betty Campbell"/>
    <s v="P006"/>
    <s v="Office Chair"/>
    <x v="0"/>
    <n v="5"/>
    <n v="199.99"/>
    <x v="2"/>
    <x v="3"/>
    <x v="1"/>
    <d v="2023-03-06T00:00:00"/>
    <n v="999.95"/>
  </r>
  <r>
    <s v="TRX0167"/>
    <x v="112"/>
    <s v="CUST028"/>
    <s v="Betty Campbell"/>
    <s v="P002"/>
    <s v="Smartphone"/>
    <x v="1"/>
    <n v="5"/>
    <n v="699.99"/>
    <x v="2"/>
    <x v="3"/>
    <x v="1"/>
    <d v="2022-03-15T00:00:00"/>
    <n v="3499.95"/>
  </r>
  <r>
    <s v="TRX0087"/>
    <x v="113"/>
    <s v="CUST028"/>
    <s v="Betty Campbell"/>
    <s v="P009"/>
    <s v="Monitor"/>
    <x v="1"/>
    <n v="4"/>
    <n v="249.99"/>
    <x v="1"/>
    <x v="3"/>
    <x v="1"/>
    <d v="2021-09-21T00:00:00"/>
    <n v="999.96"/>
  </r>
  <r>
    <s v="TRX0241"/>
    <x v="67"/>
    <s v="CUST029"/>
    <s v="Edward Mitchell"/>
    <s v="P005"/>
    <s v="Blender"/>
    <x v="2"/>
    <n v="4"/>
    <n v="59.99"/>
    <x v="3"/>
    <x v="2"/>
    <x v="0"/>
    <d v="2022-11-02T00:00:00"/>
    <n v="239.96"/>
  </r>
  <r>
    <s v="TRX0044"/>
    <x v="48"/>
    <s v="CUST029"/>
    <s v="Edward Mitchell"/>
    <s v="P001"/>
    <s v="Laptop"/>
    <x v="1"/>
    <n v="5"/>
    <n v="899.99"/>
    <x v="0"/>
    <x v="2"/>
    <x v="1"/>
    <d v="2023-12-18T00:00:00"/>
    <n v="4499.95"/>
  </r>
  <r>
    <s v="TRX0160"/>
    <x v="114"/>
    <s v="CUST029"/>
    <s v="Edward Mitchell"/>
    <s v="P006"/>
    <s v="Office Chair"/>
    <x v="0"/>
    <n v="4"/>
    <n v="199.99"/>
    <x v="3"/>
    <x v="1"/>
    <x v="1"/>
    <d v="2021-08-19T00:00:00"/>
    <n v="799.96"/>
  </r>
  <r>
    <s v="TRX0069"/>
    <x v="13"/>
    <s v="CUST029"/>
    <s v="Edward Mitchell"/>
    <s v="P010"/>
    <s v="Keyboard"/>
    <x v="1"/>
    <n v="2"/>
    <n v="89.99"/>
    <x v="3"/>
    <x v="4"/>
    <x v="2"/>
    <d v="2022-08-04T00:00:00"/>
    <n v="179.98"/>
  </r>
  <r>
    <s v="TRX0179"/>
    <x v="14"/>
    <s v="CUST029"/>
    <s v="Edward Mitchell"/>
    <s v="P002"/>
    <s v="Smartphone"/>
    <x v="1"/>
    <n v="5"/>
    <n v="699.99"/>
    <x v="0"/>
    <x v="4"/>
    <x v="1"/>
    <d v="2024-03-01T00:00:00"/>
    <n v="3499.95"/>
  </r>
  <r>
    <s v="TRX0144"/>
    <x v="115"/>
    <s v="CUST029"/>
    <s v="Edward Mitchell"/>
    <s v="P001"/>
    <s v="Laptop"/>
    <x v="1"/>
    <n v="3"/>
    <n v="899.99"/>
    <x v="2"/>
    <x v="1"/>
    <x v="0"/>
    <d v="2023-01-27T00:00:00"/>
    <n v="2699.97"/>
  </r>
  <r>
    <s v="TRX0063"/>
    <x v="116"/>
    <s v="CUST030"/>
    <s v="Helen Roberts"/>
    <s v="P005"/>
    <s v="Blender"/>
    <x v="2"/>
    <n v="2"/>
    <n v="59.99"/>
    <x v="3"/>
    <x v="1"/>
    <x v="0"/>
    <d v="2023-10-15T00:00:00"/>
    <n v="119.98"/>
  </r>
  <r>
    <s v="TRX0127"/>
    <x v="117"/>
    <s v="CUST030"/>
    <s v="Helen Roberts"/>
    <s v="P008"/>
    <s v="Bookshelf"/>
    <x v="0"/>
    <n v="1"/>
    <n v="149.99"/>
    <x v="0"/>
    <x v="2"/>
    <x v="2"/>
    <d v="2022-10-17T00:00:00"/>
    <n v="149.99"/>
  </r>
  <r>
    <s v="TRX0249"/>
    <x v="118"/>
    <s v="CUST030"/>
    <s v="Helen Roberts"/>
    <s v="P001"/>
    <s v="Laptop"/>
    <x v="1"/>
    <n v="4"/>
    <n v="899.99"/>
    <x v="3"/>
    <x v="4"/>
    <x v="0"/>
    <d v="2021-11-23T00:00:00"/>
    <n v="3599.96"/>
  </r>
  <r>
    <s v="TRX0198"/>
    <x v="119"/>
    <s v="CUST030"/>
    <s v="Helen Roberts"/>
    <s v="P004"/>
    <s v="Coffee Maker"/>
    <x v="2"/>
    <n v="3"/>
    <n v="79.989999999999995"/>
    <x v="3"/>
    <x v="2"/>
    <x v="0"/>
    <d v="2022-08-06T00:00:00"/>
    <n v="239.97"/>
  </r>
  <r>
    <s v="TRX0165"/>
    <x v="11"/>
    <s v="CUST030"/>
    <s v="Helen Roberts"/>
    <s v="P006"/>
    <s v="Office Chair"/>
    <x v="0"/>
    <n v="4"/>
    <n v="199.99"/>
    <x v="1"/>
    <x v="1"/>
    <x v="2"/>
    <d v="2021-11-23T00:00:00"/>
    <n v="799.96"/>
  </r>
  <r>
    <s v="TRX0107"/>
    <x v="113"/>
    <s v="CUST030"/>
    <s v="Helen Roberts"/>
    <s v="P003"/>
    <s v="Headphones"/>
    <x v="1"/>
    <n v="2"/>
    <n v="149.99"/>
    <x v="2"/>
    <x v="3"/>
    <x v="0"/>
    <d v="2022-12-18T00:00:00"/>
    <n v="299.98"/>
  </r>
  <r>
    <s v="TRX0175"/>
    <x v="93"/>
    <s v="CUST030"/>
    <s v="Helen Roberts"/>
    <s v="P009"/>
    <s v="Monitor"/>
    <x v="1"/>
    <n v="5"/>
    <n v="249.99"/>
    <x v="2"/>
    <x v="2"/>
    <x v="0"/>
    <d v="2021-12-10T00:00:00"/>
    <n v="1249.95"/>
  </r>
  <r>
    <s v="TRX0245"/>
    <x v="120"/>
    <s v="CUST031"/>
    <s v="Steven Turner"/>
    <s v="P006"/>
    <s v="Office Chair"/>
    <x v="0"/>
    <n v="3"/>
    <n v="199.99"/>
    <x v="1"/>
    <x v="3"/>
    <x v="1"/>
    <d v="2024-01-01T00:00:00"/>
    <n v="599.97"/>
  </r>
  <r>
    <s v="TRX0100"/>
    <x v="121"/>
    <s v="CUST031"/>
    <s v="Steven Turner"/>
    <s v="P005"/>
    <s v="Blender"/>
    <x v="2"/>
    <n v="3"/>
    <n v="59.99"/>
    <x v="1"/>
    <x v="1"/>
    <x v="1"/>
    <d v="2022-06-05T00:00:00"/>
    <n v="179.97"/>
  </r>
  <r>
    <s v="TRX0224"/>
    <x v="28"/>
    <s v="CUST031"/>
    <s v="Steven Turner"/>
    <s v="P007"/>
    <s v="Desk"/>
    <x v="0"/>
    <n v="2"/>
    <n v="299.99"/>
    <x v="2"/>
    <x v="2"/>
    <x v="1"/>
    <d v="2022-06-12T00:00:00"/>
    <n v="599.98"/>
  </r>
  <r>
    <s v="TRX0084"/>
    <x v="122"/>
    <s v="CUST031"/>
    <s v="Steven Turner"/>
    <s v="P003"/>
    <s v="Headphones"/>
    <x v="1"/>
    <n v="4"/>
    <n v="149.99"/>
    <x v="3"/>
    <x v="2"/>
    <x v="0"/>
    <d v="2021-12-06T00:00:00"/>
    <n v="599.96"/>
  </r>
  <r>
    <s v="TRX0182"/>
    <x v="123"/>
    <s v="CUST031"/>
    <s v="Steven Turner"/>
    <s v="P006"/>
    <s v="Office Chair"/>
    <x v="0"/>
    <n v="2"/>
    <n v="199.99"/>
    <x v="2"/>
    <x v="1"/>
    <x v="1"/>
    <d v="2022-01-12T00:00:00"/>
    <n v="399.98"/>
  </r>
  <r>
    <s v="TRX0064"/>
    <x v="124"/>
    <s v="CUST031"/>
    <s v="Steven Turner"/>
    <s v="P010"/>
    <s v="Keyboard"/>
    <x v="1"/>
    <n v="3"/>
    <n v="89.99"/>
    <x v="3"/>
    <x v="3"/>
    <x v="1"/>
    <d v="2022-11-13T00:00:00"/>
    <n v="269.97000000000003"/>
  </r>
  <r>
    <s v="TRX0248"/>
    <x v="125"/>
    <s v="CUST032"/>
    <s v="Sandra Phillips"/>
    <s v="P002"/>
    <s v="Smartphone"/>
    <x v="1"/>
    <n v="2"/>
    <n v="699.99"/>
    <x v="1"/>
    <x v="3"/>
    <x v="1"/>
    <d v="2021-08-13T00:00:00"/>
    <n v="1399.98"/>
  </r>
  <r>
    <s v="TRX0177"/>
    <x v="126"/>
    <s v="CUST032"/>
    <s v="Sandra Phillips"/>
    <s v="P001"/>
    <s v="Laptop"/>
    <x v="1"/>
    <n v="3"/>
    <n v="899.99"/>
    <x v="1"/>
    <x v="3"/>
    <x v="0"/>
    <d v="2023-08-19T00:00:00"/>
    <n v="2699.97"/>
  </r>
  <r>
    <s v="TRX0203"/>
    <x v="40"/>
    <s v="CUST032"/>
    <s v="Sandra Phillips"/>
    <s v="P003"/>
    <s v="Headphones"/>
    <x v="1"/>
    <n v="4"/>
    <n v="149.99"/>
    <x v="1"/>
    <x v="3"/>
    <x v="1"/>
    <d v="2023-05-30T00:00:00"/>
    <n v="599.96"/>
  </r>
  <r>
    <s v="TRX0073"/>
    <x v="102"/>
    <s v="CUST032"/>
    <s v="Sandra Phillips"/>
    <s v="P008"/>
    <s v="Bookshelf"/>
    <x v="0"/>
    <n v="5"/>
    <n v="149.99"/>
    <x v="2"/>
    <x v="3"/>
    <x v="2"/>
    <d v="2022-11-04T00:00:00"/>
    <n v="749.95"/>
  </r>
  <r>
    <s v="TRX0051"/>
    <x v="113"/>
    <s v="CUST032"/>
    <s v="Sandra Phillips"/>
    <s v="P007"/>
    <s v="Desk"/>
    <x v="0"/>
    <n v="3"/>
    <n v="299.99"/>
    <x v="1"/>
    <x v="4"/>
    <x v="2"/>
    <d v="2023-10-05T00:00:00"/>
    <n v="899.97"/>
  </r>
  <r>
    <s v="TRX0141"/>
    <x v="55"/>
    <s v="CUST033"/>
    <s v="Frank Torres"/>
    <s v="P007"/>
    <s v="Desk"/>
    <x v="0"/>
    <n v="1"/>
    <n v="299.99"/>
    <x v="1"/>
    <x v="3"/>
    <x v="1"/>
    <d v="2022-11-26T00:00:00"/>
    <n v="299.99"/>
  </r>
  <r>
    <s v="TRX0097"/>
    <x v="127"/>
    <s v="CUST033"/>
    <s v="Frank Torres"/>
    <s v="P006"/>
    <s v="Office Chair"/>
    <x v="0"/>
    <n v="2"/>
    <n v="199.99"/>
    <x v="2"/>
    <x v="3"/>
    <x v="2"/>
    <d v="2021-12-11T00:00:00"/>
    <n v="399.98"/>
  </r>
  <r>
    <s v="TRX0145"/>
    <x v="19"/>
    <s v="CUST033"/>
    <s v="Frank Torres"/>
    <s v="P005"/>
    <s v="Blender"/>
    <x v="2"/>
    <n v="1"/>
    <n v="59.99"/>
    <x v="3"/>
    <x v="0"/>
    <x v="0"/>
    <d v="2021-12-30T00:00:00"/>
    <n v="59.99"/>
  </r>
  <r>
    <s v="TRX0221"/>
    <x v="77"/>
    <s v="CUST033"/>
    <s v="Frank Torres"/>
    <s v="P006"/>
    <s v="Office Chair"/>
    <x v="0"/>
    <n v="3"/>
    <n v="199.99"/>
    <x v="2"/>
    <x v="0"/>
    <x v="1"/>
    <d v="2022-09-19T00:00:00"/>
    <n v="599.97"/>
  </r>
  <r>
    <s v="TRX0014"/>
    <x v="128"/>
    <s v="CUST033"/>
    <s v="Frank Torres"/>
    <s v="P005"/>
    <s v="Blender"/>
    <x v="2"/>
    <n v="2"/>
    <n v="59.99"/>
    <x v="1"/>
    <x v="0"/>
    <x v="2"/>
    <d v="2023-09-24T00:00:00"/>
    <n v="119.98"/>
  </r>
  <r>
    <s v="TRX0170"/>
    <x v="129"/>
    <s v="CUST034"/>
    <s v="Carol Evans"/>
    <s v="P003"/>
    <s v="Headphones"/>
    <x v="1"/>
    <n v="3"/>
    <n v="149.99"/>
    <x v="2"/>
    <x v="0"/>
    <x v="1"/>
    <d v="2023-10-13T00:00:00"/>
    <n v="449.97"/>
  </r>
  <r>
    <s v="TRX0099"/>
    <x v="91"/>
    <s v="CUST034"/>
    <s v="Carol Evans"/>
    <s v="P009"/>
    <s v="Monitor"/>
    <x v="1"/>
    <n v="1"/>
    <n v="249.99"/>
    <x v="1"/>
    <x v="0"/>
    <x v="1"/>
    <d v="2022-05-04T00:00:00"/>
    <n v="249.99"/>
  </r>
  <r>
    <s v="TRX0218"/>
    <x v="64"/>
    <s v="CUST034"/>
    <s v="Carol Evans"/>
    <s v="P008"/>
    <s v="Bookshelf"/>
    <x v="0"/>
    <n v="3"/>
    <n v="149.99"/>
    <x v="1"/>
    <x v="4"/>
    <x v="0"/>
    <d v="2023-01-14T00:00:00"/>
    <n v="449.97"/>
  </r>
  <r>
    <s v="TRX0202"/>
    <x v="130"/>
    <s v="CUST035"/>
    <s v="Harry Morgan"/>
    <s v="P010"/>
    <s v="Keyboard"/>
    <x v="1"/>
    <n v="3"/>
    <n v="89.99"/>
    <x v="0"/>
    <x v="1"/>
    <x v="1"/>
    <d v="2023-07-13T00:00:00"/>
    <n v="269.97000000000003"/>
  </r>
  <r>
    <s v="TRX0037"/>
    <x v="131"/>
    <s v="CUST035"/>
    <s v="Harry Morgan"/>
    <s v="P009"/>
    <s v="Monitor"/>
    <x v="1"/>
    <n v="2"/>
    <n v="249.99"/>
    <x v="2"/>
    <x v="4"/>
    <x v="0"/>
    <d v="2022-01-11T00:00:00"/>
    <n v="499.98"/>
  </r>
  <r>
    <s v="TRX0016"/>
    <x v="73"/>
    <s v="CUST035"/>
    <s v="Harry Morgan"/>
    <s v="P001"/>
    <s v="Laptop"/>
    <x v="1"/>
    <n v="5"/>
    <n v="899.99"/>
    <x v="0"/>
    <x v="2"/>
    <x v="1"/>
    <d v="2024-04-07T00:00:00"/>
    <n v="4499.95"/>
  </r>
  <r>
    <s v="TRX0038"/>
    <x v="132"/>
    <s v="CUST035"/>
    <s v="Harry Morgan"/>
    <s v="P009"/>
    <s v="Monitor"/>
    <x v="1"/>
    <n v="1"/>
    <n v="249.99"/>
    <x v="2"/>
    <x v="3"/>
    <x v="0"/>
    <d v="2023-07-10T00:00:00"/>
    <n v="249.99"/>
  </r>
  <r>
    <s v="TRX0071"/>
    <x v="133"/>
    <s v="CUST036"/>
    <s v="Nancy Collins"/>
    <s v="P009"/>
    <s v="Monitor"/>
    <x v="1"/>
    <n v="5"/>
    <n v="249.99"/>
    <x v="1"/>
    <x v="0"/>
    <x v="0"/>
    <d v="2021-11-25T00:00:00"/>
    <n v="1249.95"/>
  </r>
  <r>
    <s v="TRX0031"/>
    <x v="134"/>
    <s v="CUST036"/>
    <s v="Nancy Collins"/>
    <s v="P003"/>
    <s v="Headphones"/>
    <x v="1"/>
    <n v="3"/>
    <n v="149.99"/>
    <x v="0"/>
    <x v="2"/>
    <x v="2"/>
    <d v="2022-01-13T00:00:00"/>
    <n v="449.97"/>
  </r>
  <r>
    <s v="TRX0180"/>
    <x v="20"/>
    <s v="CUST036"/>
    <s v="Nancy Collins"/>
    <s v="P009"/>
    <s v="Monitor"/>
    <x v="1"/>
    <n v="2"/>
    <n v="249.99"/>
    <x v="1"/>
    <x v="1"/>
    <x v="1"/>
    <d v="2021-07-19T00:00:00"/>
    <n v="499.98"/>
  </r>
  <r>
    <s v="TRX0147"/>
    <x v="35"/>
    <s v="CUST036"/>
    <s v="Nancy Collins"/>
    <s v="P008"/>
    <s v="Bookshelf"/>
    <x v="0"/>
    <n v="5"/>
    <n v="149.99"/>
    <x v="2"/>
    <x v="1"/>
    <x v="1"/>
    <d v="2024-02-25T00:00:00"/>
    <n v="749.95"/>
  </r>
  <r>
    <s v="TRX0223"/>
    <x v="135"/>
    <s v="CUST036"/>
    <s v="Nancy Collins"/>
    <s v="P006"/>
    <s v="Office Chair"/>
    <x v="0"/>
    <n v="5"/>
    <n v="199.99"/>
    <x v="0"/>
    <x v="1"/>
    <x v="0"/>
    <d v="2022-03-13T00:00:00"/>
    <n v="999.95"/>
  </r>
  <r>
    <s v="TRX0187"/>
    <x v="136"/>
    <s v="CUST036"/>
    <s v="Nancy Collins"/>
    <s v="P004"/>
    <s v="Coffee Maker"/>
    <x v="2"/>
    <n v="3"/>
    <n v="79.989999999999995"/>
    <x v="2"/>
    <x v="2"/>
    <x v="1"/>
    <d v="2021-08-28T00:00:00"/>
    <n v="239.97"/>
  </r>
  <r>
    <s v="TRX0026"/>
    <x v="137"/>
    <s v="CUST037"/>
    <s v="Arthur Edwards"/>
    <s v="P001"/>
    <s v="Laptop"/>
    <x v="1"/>
    <n v="1"/>
    <n v="899.99"/>
    <x v="0"/>
    <x v="3"/>
    <x v="0"/>
    <d v="2022-07-10T00:00:00"/>
    <n v="899.99"/>
  </r>
  <r>
    <s v="TRX0219"/>
    <x v="138"/>
    <s v="CUST037"/>
    <s v="Arthur Edwards"/>
    <s v="P005"/>
    <s v="Blender"/>
    <x v="2"/>
    <n v="1"/>
    <n v="59.99"/>
    <x v="3"/>
    <x v="1"/>
    <x v="0"/>
    <d v="2023-04-29T00:00:00"/>
    <n v="59.99"/>
  </r>
  <r>
    <s v="TRX0200"/>
    <x v="65"/>
    <s v="CUST037"/>
    <s v="Arthur Edwards"/>
    <s v="P008"/>
    <s v="Bookshelf"/>
    <x v="0"/>
    <n v="4"/>
    <n v="149.99"/>
    <x v="0"/>
    <x v="3"/>
    <x v="1"/>
    <d v="2021-08-04T00:00:00"/>
    <n v="599.96"/>
  </r>
  <r>
    <s v="TRX0191"/>
    <x v="109"/>
    <s v="CUST038"/>
    <s v="Michelle Rogers"/>
    <s v="P002"/>
    <s v="Smartphone"/>
    <x v="1"/>
    <n v="3"/>
    <n v="699.99"/>
    <x v="1"/>
    <x v="0"/>
    <x v="2"/>
    <d v="2022-01-16T00:00:00"/>
    <n v="2099.9699999999998"/>
  </r>
  <r>
    <s v="TRX0238"/>
    <x v="122"/>
    <s v="CUST038"/>
    <s v="Michelle Rogers"/>
    <s v="P002"/>
    <s v="Smartphone"/>
    <x v="1"/>
    <n v="3"/>
    <n v="699.99"/>
    <x v="2"/>
    <x v="3"/>
    <x v="1"/>
    <d v="2022-02-10T00:00:00"/>
    <n v="2099.9699999999998"/>
  </r>
  <r>
    <s v="TRX0001"/>
    <x v="131"/>
    <s v="CUST039"/>
    <s v="Lawrence Reed"/>
    <s v="P004"/>
    <s v="Coffee Maker"/>
    <x v="2"/>
    <n v="3"/>
    <n v="79.989999999999995"/>
    <x v="2"/>
    <x v="1"/>
    <x v="1"/>
    <d v="2022-08-06T00:00:00"/>
    <n v="239.97"/>
  </r>
  <r>
    <s v="TRX0225"/>
    <x v="139"/>
    <s v="CUST039"/>
    <s v="Lawrence Reed"/>
    <s v="P002"/>
    <s v="Smartphone"/>
    <x v="1"/>
    <n v="2"/>
    <n v="699.99"/>
    <x v="3"/>
    <x v="1"/>
    <x v="1"/>
    <d v="2022-11-05T00:00:00"/>
    <n v="1399.98"/>
  </r>
  <r>
    <s v="TRX0190"/>
    <x v="140"/>
    <s v="CUST039"/>
    <s v="Lawrence Reed"/>
    <s v="P003"/>
    <s v="Headphones"/>
    <x v="1"/>
    <n v="2"/>
    <n v="149.99"/>
    <x v="1"/>
    <x v="0"/>
    <x v="2"/>
    <d v="2022-12-21T00:00:00"/>
    <n v="299.98"/>
  </r>
  <r>
    <s v="TRX0079"/>
    <x v="141"/>
    <s v="CUST039"/>
    <s v="Lawrence Reed"/>
    <s v="P010"/>
    <s v="Keyboard"/>
    <x v="1"/>
    <n v="3"/>
    <n v="89.99"/>
    <x v="0"/>
    <x v="1"/>
    <x v="2"/>
    <d v="2021-12-21T00:00:00"/>
    <n v="269.97000000000003"/>
  </r>
  <r>
    <s v="TRX0106"/>
    <x v="36"/>
    <s v="CUST039"/>
    <s v="Lawrence Reed"/>
    <s v="P006"/>
    <s v="Office Chair"/>
    <x v="0"/>
    <n v="4"/>
    <n v="199.99"/>
    <x v="3"/>
    <x v="4"/>
    <x v="0"/>
    <d v="2021-12-14T00:00:00"/>
    <n v="799.96"/>
  </r>
  <r>
    <s v="TRX0226"/>
    <x v="142"/>
    <s v="CUST039"/>
    <s v="Lawrence Reed"/>
    <s v="P002"/>
    <s v="Smartphone"/>
    <x v="1"/>
    <n v="5"/>
    <n v="699.99"/>
    <x v="3"/>
    <x v="2"/>
    <x v="1"/>
    <d v="2023-08-23T00:00:00"/>
    <n v="3499.95"/>
  </r>
  <r>
    <s v="TRX0186"/>
    <x v="73"/>
    <s v="CUST039"/>
    <s v="Lawrence Reed"/>
    <s v="P008"/>
    <s v="Bookshelf"/>
    <x v="0"/>
    <n v="2"/>
    <n v="149.99"/>
    <x v="0"/>
    <x v="1"/>
    <x v="1"/>
    <d v="2022-03-12T00:00:00"/>
    <n v="299.98"/>
  </r>
  <r>
    <s v="TRX0103"/>
    <x v="124"/>
    <s v="CUST039"/>
    <s v="Lawrence Reed"/>
    <s v="P010"/>
    <s v="Keyboard"/>
    <x v="1"/>
    <n v="2"/>
    <n v="89.99"/>
    <x v="3"/>
    <x v="2"/>
    <x v="2"/>
    <d v="2023-06-11T00:00:00"/>
    <n v="179.98"/>
  </r>
  <r>
    <s v="TRX0128"/>
    <x v="68"/>
    <s v="CUST040"/>
    <s v="Sharon Butler"/>
    <s v="P005"/>
    <s v="Blender"/>
    <x v="2"/>
    <n v="2"/>
    <n v="59.99"/>
    <x v="2"/>
    <x v="0"/>
    <x v="2"/>
    <d v="2024-04-08T00:00:00"/>
    <n v="119.98"/>
  </r>
  <r>
    <s v="TRX0162"/>
    <x v="143"/>
    <s v="CUST040"/>
    <s v="Sharon Butler"/>
    <s v="P001"/>
    <s v="Laptop"/>
    <x v="1"/>
    <n v="1"/>
    <n v="899.99"/>
    <x v="2"/>
    <x v="1"/>
    <x v="0"/>
    <d v="2023-09-10T00:00:00"/>
    <n v="899.99"/>
  </r>
  <r>
    <s v="TRX0189"/>
    <x v="76"/>
    <s v="CUST040"/>
    <s v="Sharon Butler"/>
    <s v="P001"/>
    <s v="Laptop"/>
    <x v="1"/>
    <n v="1"/>
    <n v="899.99"/>
    <x v="1"/>
    <x v="2"/>
    <x v="0"/>
    <d v="2024-03-18T00:00:00"/>
    <n v="899.99"/>
  </r>
  <r>
    <s v="TRX0011"/>
    <x v="144"/>
    <s v="CUST040"/>
    <s v="Sharon Butler"/>
    <s v="P005"/>
    <s v="Blender"/>
    <x v="2"/>
    <n v="5"/>
    <n v="59.99"/>
    <x v="3"/>
    <x v="1"/>
    <x v="0"/>
    <d v="2023-09-08T00:00:00"/>
    <n v="299.95"/>
  </r>
  <r>
    <s v="TRX0151"/>
    <x v="71"/>
    <s v="CUST040"/>
    <s v="Sharon Butler"/>
    <s v="P002"/>
    <s v="Smartphone"/>
    <x v="1"/>
    <n v="1"/>
    <n v="699.99"/>
    <x v="0"/>
    <x v="0"/>
    <x v="2"/>
    <d v="2023-01-08T00:00:00"/>
    <n v="699.99"/>
  </r>
  <r>
    <s v="TRX0124"/>
    <x v="5"/>
    <s v="CUST040"/>
    <s v="Sharon Butler"/>
    <s v="P001"/>
    <s v="Laptop"/>
    <x v="1"/>
    <n v="3"/>
    <n v="899.99"/>
    <x v="3"/>
    <x v="3"/>
    <x v="1"/>
    <d v="2022-11-11T00:00:00"/>
    <n v="2699.97"/>
  </r>
  <r>
    <s v="TRX0246"/>
    <x v="88"/>
    <s v="CUST041"/>
    <s v="Peter Richardson"/>
    <s v="P008"/>
    <s v="Bookshelf"/>
    <x v="0"/>
    <n v="3"/>
    <n v="149.99"/>
    <x v="2"/>
    <x v="3"/>
    <x v="1"/>
    <d v="2022-09-02T00:00:00"/>
    <n v="449.97"/>
  </r>
  <r>
    <s v="TRX0216"/>
    <x v="145"/>
    <s v="CUST041"/>
    <s v="Peter Richardson"/>
    <s v="P008"/>
    <s v="Bookshelf"/>
    <x v="0"/>
    <n v="3"/>
    <n v="149.99"/>
    <x v="2"/>
    <x v="1"/>
    <x v="1"/>
    <d v="2023-09-30T00:00:00"/>
    <n v="449.97"/>
  </r>
  <r>
    <s v="TRX0123"/>
    <x v="42"/>
    <s v="CUST041"/>
    <s v="Peter Richardson"/>
    <s v="P002"/>
    <s v="Smartphone"/>
    <x v="1"/>
    <n v="4"/>
    <n v="699.99"/>
    <x v="0"/>
    <x v="4"/>
    <x v="2"/>
    <d v="2022-02-26T00:00:00"/>
    <n v="2799.96"/>
  </r>
  <r>
    <s v="TRX0035"/>
    <x v="52"/>
    <s v="CUST041"/>
    <s v="Peter Richardson"/>
    <s v="P003"/>
    <s v="Headphones"/>
    <x v="1"/>
    <n v="3"/>
    <n v="149.99"/>
    <x v="2"/>
    <x v="3"/>
    <x v="2"/>
    <d v="2022-07-27T00:00:00"/>
    <n v="449.97"/>
  </r>
  <r>
    <s v="TRX0032"/>
    <x v="146"/>
    <s v="CUST041"/>
    <s v="Peter Richardson"/>
    <s v="P001"/>
    <s v="Laptop"/>
    <x v="1"/>
    <n v="2"/>
    <n v="899.99"/>
    <x v="2"/>
    <x v="3"/>
    <x v="2"/>
    <d v="2021-07-29T00:00:00"/>
    <n v="1799.98"/>
  </r>
  <r>
    <s v="TRX0005"/>
    <x v="147"/>
    <s v="CUST042"/>
    <s v="Ruth Brooks"/>
    <s v="P003"/>
    <s v="Headphones"/>
    <x v="1"/>
    <n v="4"/>
    <n v="149.99"/>
    <x v="2"/>
    <x v="3"/>
    <x v="2"/>
    <d v="2022-12-14T00:00:00"/>
    <n v="599.96"/>
  </r>
  <r>
    <s v="TRX0024"/>
    <x v="148"/>
    <s v="CUST042"/>
    <s v="Ruth Brooks"/>
    <s v="P008"/>
    <s v="Bookshelf"/>
    <x v="0"/>
    <n v="3"/>
    <n v="149.99"/>
    <x v="3"/>
    <x v="3"/>
    <x v="1"/>
    <d v="2022-01-03T00:00:00"/>
    <n v="449.97"/>
  </r>
  <r>
    <s v="TRX0047"/>
    <x v="65"/>
    <s v="CUST042"/>
    <s v="Ruth Brooks"/>
    <s v="P002"/>
    <s v="Smartphone"/>
    <x v="1"/>
    <n v="1"/>
    <n v="699.99"/>
    <x v="2"/>
    <x v="3"/>
    <x v="1"/>
    <d v="2022-01-22T00:00:00"/>
    <n v="699.99"/>
  </r>
  <r>
    <s v="TRX0067"/>
    <x v="109"/>
    <s v="CUST043"/>
    <s v="Dennis Gray"/>
    <s v="P005"/>
    <s v="Blender"/>
    <x v="2"/>
    <n v="3"/>
    <n v="59.99"/>
    <x v="1"/>
    <x v="3"/>
    <x v="0"/>
    <d v="2024-02-29T00:00:00"/>
    <n v="179.97"/>
  </r>
  <r>
    <s v="TRX0053"/>
    <x v="149"/>
    <s v="CUST043"/>
    <s v="Dennis Gray"/>
    <s v="P005"/>
    <s v="Blender"/>
    <x v="2"/>
    <n v="5"/>
    <n v="59.99"/>
    <x v="2"/>
    <x v="0"/>
    <x v="1"/>
    <d v="2023-12-31T00:00:00"/>
    <n v="299.95"/>
  </r>
  <r>
    <s v="TRX0204"/>
    <x v="150"/>
    <s v="CUST044"/>
    <s v="Cynthia Price"/>
    <s v="P009"/>
    <s v="Monitor"/>
    <x v="1"/>
    <n v="4"/>
    <n v="249.99"/>
    <x v="0"/>
    <x v="3"/>
    <x v="0"/>
    <d v="2021-09-29T00:00:00"/>
    <n v="999.96"/>
  </r>
  <r>
    <s v="TRX0176"/>
    <x v="151"/>
    <s v="CUST044"/>
    <s v="Cynthia Price"/>
    <s v="P008"/>
    <s v="Bookshelf"/>
    <x v="0"/>
    <n v="2"/>
    <n v="149.99"/>
    <x v="3"/>
    <x v="2"/>
    <x v="0"/>
    <d v="2022-04-16T00:00:00"/>
    <n v="299.98"/>
  </r>
  <r>
    <s v="TRX0236"/>
    <x v="152"/>
    <s v="CUST044"/>
    <s v="Cynthia Price"/>
    <s v="P008"/>
    <s v="Bookshelf"/>
    <x v="0"/>
    <n v="5"/>
    <n v="149.99"/>
    <x v="1"/>
    <x v="1"/>
    <x v="2"/>
    <d v="2024-01-19T00:00:00"/>
    <n v="749.95"/>
  </r>
  <r>
    <s v="TRX0152"/>
    <x v="153"/>
    <s v="CUST044"/>
    <s v="Cynthia Price"/>
    <s v="P004"/>
    <s v="Coffee Maker"/>
    <x v="2"/>
    <n v="4"/>
    <n v="79.989999999999995"/>
    <x v="1"/>
    <x v="1"/>
    <x v="2"/>
    <d v="2023-12-28T00:00:00"/>
    <n v="319.95999999999998"/>
  </r>
  <r>
    <s v="TRX0068"/>
    <x v="154"/>
    <s v="CUST044"/>
    <s v="Cynthia Price"/>
    <s v="P002"/>
    <s v="Smartphone"/>
    <x v="1"/>
    <n v="2"/>
    <n v="699.99"/>
    <x v="0"/>
    <x v="3"/>
    <x v="0"/>
    <d v="2022-02-26T00:00:00"/>
    <n v="1399.98"/>
  </r>
  <r>
    <s v="TRX0012"/>
    <x v="155"/>
    <s v="CUST045"/>
    <s v="Douglas Watson"/>
    <s v="P009"/>
    <s v="Monitor"/>
    <x v="1"/>
    <n v="5"/>
    <n v="249.99"/>
    <x v="1"/>
    <x v="3"/>
    <x v="2"/>
    <d v="2022-11-08T00:00:00"/>
    <n v="1249.95"/>
  </r>
  <r>
    <s v="TRX0102"/>
    <x v="104"/>
    <s v="CUST045"/>
    <s v="Douglas Watson"/>
    <s v="P004"/>
    <s v="Coffee Maker"/>
    <x v="2"/>
    <n v="1"/>
    <n v="79.989999999999995"/>
    <x v="1"/>
    <x v="4"/>
    <x v="2"/>
    <d v="2024-01-31T00:00:00"/>
    <n v="79.989999999999995"/>
  </r>
  <r>
    <s v="TRX0188"/>
    <x v="44"/>
    <s v="CUST045"/>
    <s v="Douglas Watson"/>
    <s v="P002"/>
    <s v="Smartphone"/>
    <x v="1"/>
    <n v="2"/>
    <n v="699.99"/>
    <x v="3"/>
    <x v="1"/>
    <x v="1"/>
    <d v="2022-04-30T00:00:00"/>
    <n v="1399.98"/>
  </r>
  <r>
    <s v="TRX0120"/>
    <x v="124"/>
    <s v="CUST045"/>
    <s v="Douglas Watson"/>
    <s v="P002"/>
    <s v="Smartphone"/>
    <x v="1"/>
    <n v="3"/>
    <n v="699.99"/>
    <x v="0"/>
    <x v="3"/>
    <x v="2"/>
    <d v="2022-12-14T00:00:00"/>
    <n v="2099.9699999999998"/>
  </r>
  <r>
    <s v="TRX0043"/>
    <x v="6"/>
    <s v="CUST046"/>
    <s v="Kathleen Bennett"/>
    <s v="P005"/>
    <s v="Blender"/>
    <x v="2"/>
    <n v="3"/>
    <n v="59.99"/>
    <x v="2"/>
    <x v="3"/>
    <x v="1"/>
    <d v="2023-07-07T00:00:00"/>
    <n v="179.97"/>
  </r>
  <r>
    <s v="TRX0209"/>
    <x v="88"/>
    <s v="CUST046"/>
    <s v="Kathleen Bennett"/>
    <s v="P008"/>
    <s v="Bookshelf"/>
    <x v="0"/>
    <n v="5"/>
    <n v="149.99"/>
    <x v="3"/>
    <x v="3"/>
    <x v="2"/>
    <d v="2022-09-26T00:00:00"/>
    <n v="749.95"/>
  </r>
  <r>
    <s v="TRX0184"/>
    <x v="49"/>
    <s v="CUST046"/>
    <s v="Kathleen Bennett"/>
    <s v="P002"/>
    <s v="Smartphone"/>
    <x v="1"/>
    <n v="3"/>
    <n v="699.99"/>
    <x v="1"/>
    <x v="2"/>
    <x v="1"/>
    <d v="2023-06-25T00:00:00"/>
    <n v="2099.9699999999998"/>
  </r>
  <r>
    <s v="TRX0247"/>
    <x v="27"/>
    <s v="CUST046"/>
    <s v="Kathleen Bennett"/>
    <s v="P006"/>
    <s v="Office Chair"/>
    <x v="0"/>
    <n v="4"/>
    <n v="199.99"/>
    <x v="2"/>
    <x v="3"/>
    <x v="0"/>
    <d v="2021-09-19T00:00:00"/>
    <n v="799.96"/>
  </r>
  <r>
    <s v="TRX0211"/>
    <x v="156"/>
    <s v="CUST046"/>
    <s v="Kathleen Bennett"/>
    <s v="P010"/>
    <s v="Keyboard"/>
    <x v="1"/>
    <n v="2"/>
    <n v="89.99"/>
    <x v="1"/>
    <x v="4"/>
    <x v="1"/>
    <d v="2022-03-21T00:00:00"/>
    <n v="179.98"/>
  </r>
  <r>
    <s v="TRX0095"/>
    <x v="17"/>
    <s v="CUST046"/>
    <s v="Kathleen Bennett"/>
    <s v="P003"/>
    <s v="Headphones"/>
    <x v="1"/>
    <n v="2"/>
    <n v="149.99"/>
    <x v="0"/>
    <x v="1"/>
    <x v="2"/>
    <d v="2021-10-04T00:00:00"/>
    <n v="299.98"/>
  </r>
  <r>
    <s v="TRX0169"/>
    <x v="145"/>
    <s v="CUST047"/>
    <s v="Gerald Murphy"/>
    <s v="P005"/>
    <s v="Blender"/>
    <x v="2"/>
    <n v="3"/>
    <n v="59.99"/>
    <x v="1"/>
    <x v="0"/>
    <x v="2"/>
    <d v="2023-07-23T00:00:00"/>
    <n v="179.97"/>
  </r>
  <r>
    <s v="TRX0215"/>
    <x v="26"/>
    <s v="CUST047"/>
    <s v="Gerald Murphy"/>
    <s v="P009"/>
    <s v="Monitor"/>
    <x v="1"/>
    <n v="4"/>
    <n v="249.99"/>
    <x v="3"/>
    <x v="1"/>
    <x v="0"/>
    <d v="2023-07-20T00:00:00"/>
    <n v="999.96"/>
  </r>
  <r>
    <s v="TRX0132"/>
    <x v="134"/>
    <s v="CUST047"/>
    <s v="Gerald Murphy"/>
    <s v="P001"/>
    <s v="Laptop"/>
    <x v="1"/>
    <n v="5"/>
    <n v="899.99"/>
    <x v="3"/>
    <x v="2"/>
    <x v="2"/>
    <d v="2021-11-26T00:00:00"/>
    <n v="4499.95"/>
  </r>
  <r>
    <s v="TRX0058"/>
    <x v="129"/>
    <s v="CUST047"/>
    <s v="Gerald Murphy"/>
    <s v="P002"/>
    <s v="Smartphone"/>
    <x v="1"/>
    <n v="1"/>
    <n v="699.99"/>
    <x v="2"/>
    <x v="1"/>
    <x v="1"/>
    <d v="2021-10-28T00:00:00"/>
    <n v="699.99"/>
  </r>
  <r>
    <s v="TRX0222"/>
    <x v="38"/>
    <s v="CUST048"/>
    <s v="Virginia Sanders"/>
    <s v="P009"/>
    <s v="Monitor"/>
    <x v="1"/>
    <n v="3"/>
    <n v="249.99"/>
    <x v="1"/>
    <x v="3"/>
    <x v="1"/>
    <d v="2023-10-25T00:00:00"/>
    <n v="749.97"/>
  </r>
  <r>
    <s v="TRX0243"/>
    <x v="135"/>
    <s v="CUST048"/>
    <s v="Virginia Sanders"/>
    <s v="P009"/>
    <s v="Monitor"/>
    <x v="1"/>
    <n v="5"/>
    <n v="249.99"/>
    <x v="1"/>
    <x v="4"/>
    <x v="2"/>
    <d v="2024-02-08T00:00:00"/>
    <n v="1249.95"/>
  </r>
  <r>
    <s v="TRX0105"/>
    <x v="148"/>
    <s v="CUST048"/>
    <s v="Virginia Sanders"/>
    <s v="P007"/>
    <s v="Desk"/>
    <x v="0"/>
    <n v="5"/>
    <n v="299.99"/>
    <x v="1"/>
    <x v="4"/>
    <x v="2"/>
    <d v="2023-02-02T00:00:00"/>
    <n v="1499.95"/>
  </r>
  <r>
    <s v="TRX0048"/>
    <x v="62"/>
    <s v="CUST048"/>
    <s v="Virginia Sanders"/>
    <s v="P007"/>
    <s v="Desk"/>
    <x v="0"/>
    <n v="2"/>
    <n v="299.99"/>
    <x v="0"/>
    <x v="4"/>
    <x v="2"/>
    <d v="2022-01-15T00:00:00"/>
    <n v="599.98"/>
  </r>
  <r>
    <s v="TRX0197"/>
    <x v="108"/>
    <s v="CUST048"/>
    <s v="Virginia Sanders"/>
    <s v="P008"/>
    <s v="Bookshelf"/>
    <x v="0"/>
    <n v="3"/>
    <n v="149.99"/>
    <x v="0"/>
    <x v="1"/>
    <x v="0"/>
    <d v="2023-09-02T00:00:00"/>
    <n v="449.97"/>
  </r>
  <r>
    <s v="TRX0039"/>
    <x v="157"/>
    <s v="CUST048"/>
    <s v="Virginia Sanders"/>
    <s v="P004"/>
    <s v="Coffee Maker"/>
    <x v="2"/>
    <n v="3"/>
    <n v="79.989999999999995"/>
    <x v="1"/>
    <x v="3"/>
    <x v="2"/>
    <d v="2021-11-11T00:00:00"/>
    <n v="239.97"/>
  </r>
  <r>
    <s v="TRX0025"/>
    <x v="158"/>
    <s v="CUST049"/>
    <s v="Raymond Ross"/>
    <s v="P010"/>
    <s v="Keyboard"/>
    <x v="1"/>
    <n v="4"/>
    <n v="89.99"/>
    <x v="3"/>
    <x v="4"/>
    <x v="2"/>
    <d v="2023-12-21T00:00:00"/>
    <n v="359.96"/>
  </r>
  <r>
    <s v="TRX0136"/>
    <x v="159"/>
    <s v="CUST049"/>
    <s v="Raymond Ross"/>
    <s v="P005"/>
    <s v="Blender"/>
    <x v="2"/>
    <n v="4"/>
    <n v="59.99"/>
    <x v="2"/>
    <x v="4"/>
    <x v="0"/>
    <d v="2021-11-09T00:00:00"/>
    <n v="239.96"/>
  </r>
  <r>
    <s v="TRX0034"/>
    <x v="76"/>
    <s v="CUST049"/>
    <s v="Raymond Ross"/>
    <s v="P002"/>
    <s v="Smartphone"/>
    <x v="1"/>
    <n v="4"/>
    <n v="699.99"/>
    <x v="1"/>
    <x v="1"/>
    <x v="2"/>
    <d v="2024-04-03T00:00:00"/>
    <n v="2799.96"/>
  </r>
  <r>
    <s v="TRX0153"/>
    <x v="160"/>
    <s v="CUST049"/>
    <s v="Raymond Ross"/>
    <s v="P010"/>
    <s v="Keyboard"/>
    <x v="1"/>
    <n v="3"/>
    <n v="89.99"/>
    <x v="1"/>
    <x v="3"/>
    <x v="0"/>
    <d v="2022-02-23T00:00:00"/>
    <n v="269.97000000000003"/>
  </r>
  <r>
    <s v="TRX0093"/>
    <x v="161"/>
    <s v="CUST050"/>
    <s v="Julie Foster"/>
    <s v="P005"/>
    <s v="Blender"/>
    <x v="2"/>
    <n v="4"/>
    <n v="59.99"/>
    <x v="2"/>
    <x v="2"/>
    <x v="0"/>
    <d v="2021-08-27T00:00:00"/>
    <n v="23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YearWise_TotalSales" cacheId="0" applyNumberFormats="0" applyBorderFormats="0" applyFontFormats="0" applyPatternFormats="0" applyAlignmentFormats="0" applyWidthHeightFormats="1" dataCaption="Values" updatedVersion="6" minRefreshableVersion="3" itemPrintTitles="1" createdVersion="8" indent="0" compact="0" compactData="0" multipleFieldFilters="0" chartFormat="21">
  <location ref="A3:C16" firstHeaderRow="1" firstDataRow="1" firstDataCol="2"/>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pivotField compact="0" numFmtId="1" outline="0" showAll="0"/>
    <pivotField compact="0" numFmtId="165" outline="0" showAll="0"/>
    <pivotField compact="0" outline="0" showAll="0"/>
    <pivotField compact="0" outline="0" showAll="0"/>
    <pivotField compact="0" outline="0" showAll="0"/>
    <pivotField compact="0" numFmtId="14" outline="0" showAll="0"/>
    <pivotField dataField="1" compact="0" numFmtId="165"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5">
        <item h="1" sd="0" x="0"/>
        <item sd="0" x="1"/>
        <item sd="0" x="2"/>
        <item h="1" sd="0" x="3"/>
        <item t="default"/>
      </items>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Sum of Total_Amount" fld="13" baseField="0" baseItem="0" numFmtId="165"/>
  </dataFields>
  <formats count="7">
    <format dxfId="6">
      <pivotArea field="14" type="button" dataOnly="0" labelOnly="1" outline="0" axis="axisRow" fieldPosition="0"/>
    </format>
    <format dxfId="5">
      <pivotArea field="16" type="button" dataOnly="0" labelOnly="1" outline="0" axis="axisRow" fieldPosition="1"/>
    </format>
    <format dxfId="4">
      <pivotArea dataOnly="0" labelOnly="1" outline="0" axis="axisValues" fieldPosition="0"/>
    </format>
    <format dxfId="3">
      <pivotArea dataOnly="0" labelOnly="1" outline="0" axis="axisValues" fieldPosition="0"/>
    </format>
    <format dxfId="2">
      <pivotArea dataOnly="0" labelOnly="1" grandRow="1" outline="0" offset="A256" fieldPosition="0"/>
    </format>
    <format dxfId="1">
      <pivotArea grandRow="1" outline="0" collapsedLevelsAreSubtotals="1" fieldPosition="0"/>
    </format>
    <format dxfId="0">
      <pivotArea dataOnly="0" labelOnly="1" grandRow="1" outline="0" offset="IV256" fieldPosition="0"/>
    </format>
  </formats>
  <chartFormats count="3">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4" count="1" selected="0">
            <x v="1"/>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aymentMethod_CountTransac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location ref="O3:P8" firstHeaderRow="1" firstDataRow="1" firstDataCol="1"/>
  <pivotFields count="17">
    <pivotField dataField="1"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axis="axisRow" compact="0" outline="0" showAll="0">
      <items count="5">
        <item x="2"/>
        <item x="1"/>
        <item x="3"/>
        <item x="0"/>
        <item t="default"/>
      </items>
    </pivotField>
    <pivotField compact="0" outline="0" showAll="0">
      <items count="6">
        <item x="1"/>
        <item x="2"/>
        <item x="3"/>
        <item x="4"/>
        <item x="0"/>
        <item t="default"/>
      </items>
    </pivotField>
    <pivotField compact="0" outline="0" showAll="0">
      <items count="4">
        <item x="2"/>
        <item x="1"/>
        <item x="0"/>
        <item t="default"/>
      </items>
    </pivotField>
    <pivotField compact="0" numFmtId="14" outline="0" showAll="0"/>
    <pivotField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9"/>
  </rowFields>
  <rowItems count="5">
    <i>
      <x/>
    </i>
    <i>
      <x v="1"/>
    </i>
    <i>
      <x v="2"/>
    </i>
    <i>
      <x v="3"/>
    </i>
    <i t="grand">
      <x/>
    </i>
  </rowItems>
  <colItems count="1">
    <i/>
  </colItems>
  <dataFields count="1">
    <dataField name="Count of Transaction_ID" fld="0" subtotal="count" baseField="0" baseItem="0"/>
  </dataFields>
  <formats count="5">
    <format dxfId="11">
      <pivotArea field="9" type="button" dataOnly="0" labelOnly="1" outline="0" axis="axisRow" fieldPosition="0"/>
    </format>
    <format dxfId="10">
      <pivotArea dataOnly="0" labelOnly="1" outline="0" axis="axisValues" fieldPosition="0"/>
    </format>
    <format dxfId="9">
      <pivotArea dataOnly="0" labelOnly="1" outline="0" axis="axisValues" fieldPosition="0"/>
    </format>
    <format dxfId="8">
      <pivotArea dataOnly="0" labelOnly="1" grandRow="1" outline="0" fieldPosition="0"/>
    </format>
    <format dxfId="7">
      <pivotArea grandRow="1"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SegmentWise_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8">
  <location ref="L3:M7" firstHeaderRow="1" firstDataRow="1" firstDataCol="1"/>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compact="0" outline="0" showAll="0"/>
    <pivotField compact="0" outline="0" showAll="0">
      <items count="6">
        <item x="1"/>
        <item x="2"/>
        <item x="3"/>
        <item x="4"/>
        <item x="0"/>
        <item t="default"/>
      </items>
    </pivotField>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numFmtId="14" outline="0" showAll="0"/>
    <pivotField dataField="1"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1"/>
  </rowFields>
  <rowItems count="4">
    <i>
      <x v="1"/>
    </i>
    <i>
      <x v="2"/>
    </i>
    <i>
      <x/>
    </i>
    <i t="grand">
      <x/>
    </i>
  </rowItems>
  <colItems count="1">
    <i/>
  </colItems>
  <dataFields count="1">
    <dataField name="Sum of Total_Amount" fld="13" showDataAs="percentOfTotal" baseField="0" baseItem="0" numFmtId="10"/>
  </dataFields>
  <formats count="5">
    <format dxfId="16">
      <pivotArea field="11" type="button" dataOnly="0" labelOnly="1" outline="0" axis="axisRow" fieldPosition="0"/>
    </format>
    <format dxfId="15">
      <pivotArea dataOnly="0" labelOnly="1" outline="0" axis="axisValues" fieldPosition="0"/>
    </format>
    <format dxfId="14">
      <pivotArea dataOnly="0" labelOnly="1" outline="0" axis="axisValues" fieldPosition="0"/>
    </format>
    <format dxfId="13">
      <pivotArea dataOnly="0" labelOnly="1" grandRow="1" outline="0" fieldPosition="0"/>
    </format>
    <format dxfId="12">
      <pivotArea grandRow="1"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11" count="1" selected="0">
            <x v="2"/>
          </reference>
        </references>
      </pivotArea>
    </chartFormat>
    <chartFormat chart="27" format="4">
      <pivotArea type="data" outline="0" fieldPosition="0">
        <references count="2">
          <reference field="4294967294" count="1" selected="0">
            <x v="0"/>
          </reference>
          <reference field="11" count="1" selected="0">
            <x v="0"/>
          </reference>
        </references>
      </pivotArea>
    </chartFormat>
    <chartFormat chart="27"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RegionWise_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I3:J9" firstHeaderRow="1" firstDataRow="1" firstDataCol="1"/>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 outline="0" showAll="0"/>
    <pivotField compact="0" numFmtId="165" outline="0" showAll="0"/>
    <pivotField compact="0" outline="0" showAll="0">
      <items count="5">
        <item x="2"/>
        <item x="1"/>
        <item x="3"/>
        <item x="0"/>
        <item t="default"/>
      </items>
    </pivotField>
    <pivotField axis="axisRow" compact="0" outline="0" showAll="0">
      <items count="6">
        <item x="1"/>
        <item x="2"/>
        <item x="3"/>
        <item x="4"/>
        <item x="0"/>
        <item t="default"/>
      </items>
    </pivotField>
    <pivotField compact="0" outline="0" showAll="0">
      <items count="4">
        <item x="2"/>
        <item x="1"/>
        <item x="0"/>
        <item t="default"/>
      </items>
    </pivotField>
    <pivotField compact="0" numFmtId="14" outline="0" showAll="0"/>
    <pivotField dataField="1"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0"/>
  </rowFields>
  <rowItems count="6">
    <i>
      <x/>
    </i>
    <i>
      <x v="1"/>
    </i>
    <i>
      <x v="2"/>
    </i>
    <i>
      <x v="3"/>
    </i>
    <i>
      <x v="4"/>
    </i>
    <i t="grand">
      <x/>
    </i>
  </rowItems>
  <colItems count="1">
    <i/>
  </colItems>
  <dataFields count="1">
    <dataField name="Sum of Total_Amount" fld="13" baseField="0" baseItem="0" numFmtId="165"/>
  </dataFields>
  <formats count="5">
    <format dxfId="21">
      <pivotArea field="10" type="button" dataOnly="0" labelOnly="1" outline="0" axis="axisRow" fieldPosition="0"/>
    </format>
    <format dxfId="20">
      <pivotArea dataOnly="0" labelOnly="1" outline="0" axis="axisValues" fieldPosition="0"/>
    </format>
    <format dxfId="19">
      <pivotArea dataOnly="0" labelOnly="1" outline="0" axis="axisValues" fieldPosition="0"/>
    </format>
    <format dxfId="18">
      <pivotArea dataOnly="0" labelOnly="1" grandRow="1" outline="0" fieldPosition="0"/>
    </format>
    <format dxfId="17">
      <pivotArea grandRow="1"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10" count="1" selected="0">
            <x v="1"/>
          </reference>
        </references>
      </pivotArea>
    </chartFormat>
    <chartFormat chart="21" format="5">
      <pivotArea type="data" outline="0" fieldPosition="0">
        <references count="2">
          <reference field="4294967294" count="1" selected="0">
            <x v="0"/>
          </reference>
          <reference field="10" count="1" selected="0">
            <x v="2"/>
          </reference>
        </references>
      </pivotArea>
    </chartFormat>
    <chartFormat chart="21" format="6">
      <pivotArea type="data" outline="0" fieldPosition="0">
        <references count="2">
          <reference field="4294967294" count="1" selected="0">
            <x v="0"/>
          </reference>
          <reference field="10" count="1" selected="0">
            <x v="3"/>
          </reference>
        </references>
      </pivotArea>
    </chartFormat>
    <chartFormat chart="21" format="7">
      <pivotArea type="data" outline="0" fieldPosition="0">
        <references count="2">
          <reference field="4294967294" count="1" selected="0">
            <x v="0"/>
          </reference>
          <reference field="10" count="1" selected="0">
            <x v="4"/>
          </reference>
        </references>
      </pivotArea>
    </chartFormat>
    <chartFormat chart="21" format="8">
      <pivotArea type="data" outline="0" fieldPosition="0">
        <references count="2">
          <reference field="4294967294" count="1" selected="0">
            <x v="0"/>
          </reference>
          <reference field="10" count="1" selected="0">
            <x v="0"/>
          </reference>
        </references>
      </pivotArea>
    </chartFormat>
    <chartFormat chart="16" format="1"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CategoryWise_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E3:F7" firstHeaderRow="1" firstDataRow="1" firstDataCol="1"/>
  <pivotFields count="17">
    <pivotField compact="0" outline="0" showAll="0"/>
    <pivotField compact="0" numFmtId="14" outline="0" showAll="0">
      <items count="163">
        <item x="90"/>
        <item x="53"/>
        <item x="84"/>
        <item x="6"/>
        <item x="66"/>
        <item x="33"/>
        <item x="88"/>
        <item x="109"/>
        <item x="38"/>
        <item x="74"/>
        <item x="45"/>
        <item x="150"/>
        <item x="98"/>
        <item x="133"/>
        <item x="46"/>
        <item x="116"/>
        <item x="67"/>
        <item x="21"/>
        <item x="1"/>
        <item x="85"/>
        <item x="47"/>
        <item x="22"/>
        <item x="120"/>
        <item x="31"/>
        <item x="130"/>
        <item x="78"/>
        <item x="68"/>
        <item x="15"/>
        <item x="54"/>
        <item x="7"/>
        <item x="161"/>
        <item x="23"/>
        <item x="48"/>
        <item x="32"/>
        <item x="158"/>
        <item x="34"/>
        <item x="49"/>
        <item x="117"/>
        <item x="2"/>
        <item x="69"/>
        <item x="25"/>
        <item x="8"/>
        <item x="159"/>
        <item x="55"/>
        <item x="127"/>
        <item x="145"/>
        <item x="105"/>
        <item x="143"/>
        <item x="56"/>
        <item x="26"/>
        <item x="75"/>
        <item x="79"/>
        <item x="99"/>
        <item x="118"/>
        <item x="63"/>
        <item x="151"/>
        <item x="39"/>
        <item x="100"/>
        <item x="27"/>
        <item x="111"/>
        <item x="101"/>
        <item x="134"/>
        <item x="152"/>
        <item x="131"/>
        <item x="129"/>
        <item x="125"/>
        <item x="91"/>
        <item x="139"/>
        <item x="121"/>
        <item x="3"/>
        <item x="70"/>
        <item x="95"/>
        <item x="156"/>
        <item x="147"/>
        <item x="16"/>
        <item x="42"/>
        <item x="126"/>
        <item x="58"/>
        <item x="50"/>
        <item x="60"/>
        <item x="9"/>
        <item x="40"/>
        <item x="64"/>
        <item x="80"/>
        <item x="110"/>
        <item x="76"/>
        <item x="140"/>
        <item x="141"/>
        <item x="17"/>
        <item x="112"/>
        <item x="160"/>
        <item x="92"/>
        <item x="106"/>
        <item x="51"/>
        <item x="41"/>
        <item x="82"/>
        <item x="52"/>
        <item x="18"/>
        <item x="102"/>
        <item x="114"/>
        <item x="19"/>
        <item x="155"/>
        <item x="59"/>
        <item x="57"/>
        <item x="43"/>
        <item x="96"/>
        <item x="20"/>
        <item x="119"/>
        <item x="146"/>
        <item x="28"/>
        <item x="4"/>
        <item x="29"/>
        <item x="10"/>
        <item x="30"/>
        <item x="86"/>
        <item x="11"/>
        <item x="35"/>
        <item x="103"/>
        <item x="81"/>
        <item x="137"/>
        <item x="12"/>
        <item x="107"/>
        <item x="135"/>
        <item x="122"/>
        <item x="104"/>
        <item x="113"/>
        <item x="36"/>
        <item x="24"/>
        <item x="89"/>
        <item x="97"/>
        <item x="44"/>
        <item x="13"/>
        <item x="138"/>
        <item x="148"/>
        <item x="144"/>
        <item x="136"/>
        <item x="87"/>
        <item x="61"/>
        <item x="14"/>
        <item x="77"/>
        <item x="71"/>
        <item x="65"/>
        <item x="123"/>
        <item x="62"/>
        <item x="72"/>
        <item x="142"/>
        <item x="149"/>
        <item x="93"/>
        <item x="73"/>
        <item x="132"/>
        <item x="128"/>
        <item x="5"/>
        <item x="94"/>
        <item x="0"/>
        <item x="153"/>
        <item x="83"/>
        <item x="108"/>
        <item x="154"/>
        <item x="115"/>
        <item x="157"/>
        <item x="37"/>
        <item x="124"/>
        <item t="default"/>
      </items>
    </pivotField>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numFmtId="1" outline="0" showAll="0"/>
    <pivotField compact="0" numFmtId="165" outline="0" showAll="0"/>
    <pivotField compact="0" outline="0" showAll="0"/>
    <pivotField compact="0" outline="0" showAll="0"/>
    <pivotField compact="0" outline="0" showAll="0"/>
    <pivotField compact="0" numFmtId="14" outline="0" showAll="0"/>
    <pivotField dataField="1" compact="0" numFmtId="165"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6"/>
  </rowFields>
  <rowItems count="4">
    <i>
      <x/>
    </i>
    <i>
      <x v="1"/>
    </i>
    <i>
      <x v="2"/>
    </i>
    <i t="grand">
      <x/>
    </i>
  </rowItems>
  <colItems count="1">
    <i/>
  </colItems>
  <dataFields count="1">
    <dataField name="Sum of Total_Amount" fld="13" baseField="0" baseItem="0" numFmtId="165"/>
  </dataFields>
  <formats count="5">
    <format dxfId="26">
      <pivotArea field="6" type="button" dataOnly="0" labelOnly="1" outline="0" axis="axisRow" fieldPosition="0"/>
    </format>
    <format dxfId="25">
      <pivotArea dataOnly="0" labelOnly="1" grandRow="1" outline="0" fieldPosition="0"/>
    </format>
    <format dxfId="24">
      <pivotArea dataOnly="0" labelOnly="1" outline="0" axis="axisValues" fieldPosition="0"/>
    </format>
    <format dxfId="23">
      <pivotArea dataOnly="0" labelOnly="1" outline="0" axis="axisValues" fieldPosition="0"/>
    </format>
    <format dxfId="22">
      <pivotArea grandRow="1"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6" count="1" selected="0">
            <x v="0"/>
          </reference>
        </references>
      </pivotArea>
    </chartFormat>
    <chartFormat chart="19" format="10">
      <pivotArea type="data" outline="0" fieldPosition="0">
        <references count="2">
          <reference field="4294967294" count="1" selected="0">
            <x v="0"/>
          </reference>
          <reference field="6" count="1" selected="0">
            <x v="1"/>
          </reference>
        </references>
      </pivotArea>
    </chartFormat>
    <chartFormat chart="19" format="11">
      <pivotArea type="data" outline="0" fieldPosition="0">
        <references count="2">
          <reference field="4294967294" count="1" selected="0">
            <x v="0"/>
          </reference>
          <reference field="6"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7" format="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0" name="CategoryWise_TotalSales"/>
  </pivotTables>
  <data>
    <tabular pivotCacheId="153525351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30" name="PaymentMethod_CountTransaction"/>
  </pivotTables>
  <data>
    <tabular pivotCacheId="1535253514">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30" name="SegmentWise_TotalSales"/>
  </pivotTables>
  <data>
    <tabular pivotCacheId="153525351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0" name="RegionWise_TotalSales"/>
  </pivotTables>
  <data>
    <tabular pivotCacheId="1535253514">
      <items count="5">
        <i x="1" s="1"/>
        <i x="2"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s__Date" sourceName="Months (Date)">
  <pivotTables>
    <pivotTable tabId="30" name="YearWise_TotalSales"/>
  </pivotTables>
  <data>
    <tabular pivotCacheId="1535253514">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s__Date" sourceName="Years (Date)">
  <pivotTables>
    <pivotTable tabId="30" name="YearWise_TotalSales"/>
  </pivotTables>
  <data>
    <tabular pivotCacheId="1535253514">
      <items count="4">
        <i x="1" s="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7650"/>
  <slicer name="Payment_Method" cache="Slicer_Payment_Method" caption="Payment_Method" rowHeight="247650"/>
  <slicer name="Customer_Segment" cache="Slicer_Customer_Segment" caption="Customer_Segment" rowHeight="247650"/>
  <slicer name="Region" cache="Slicer_Region" caption="Region" rowHeight="247650"/>
  <slicer name="Months (Date)" cache="Slicer_Months__Date" caption="Months (Date)" rowHeight="247650"/>
  <slicer name="Years (Date)" cache="Slicer_Years__Date" caption="Years (Date)"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Dark4" rowHeight="247650"/>
  <slicer name="Customer_Segment 1" cache="Slicer_Customer_Segment" caption="Customer_Segment" style="SlicerStyleDark4" rowHeight="247650"/>
  <slicer name="Region 1" cache="Slicer_Region" caption="Region" style="SlicerStyleDark4" rowHeight="247650"/>
  <slicer name="Months (Date) 1" cache="Slicer_Months__Date" caption="Months (Date)" style="SlicerStyleDark4" rowHeight="247650"/>
  <slicer name="Years (Date) 1" cache="Slicer_Years__Date" caption="Years (Date)" style="SlicerStyleDark4" rowHeight="247650"/>
</slicers>
</file>

<file path=xl/tables/table1.xml><?xml version="1.0" encoding="utf-8"?>
<table xmlns="http://schemas.openxmlformats.org/spreadsheetml/2006/main" id="1" name="Table1" displayName="Table1" ref="A1:N251" totalsRowShown="0" headerRowDxfId="45" dataDxfId="43" headerRowBorderDxfId="44" tableBorderDxfId="42" totalsRowBorderDxfId="41">
  <autoFilter ref="A1:N251"/>
  <tableColumns count="14">
    <tableColumn id="1" name="Transaction_ID" dataDxfId="40"/>
    <tableColumn id="2" name="Date" dataDxfId="39"/>
    <tableColumn id="3" name="Customer_ID" dataDxfId="38"/>
    <tableColumn id="4" name="Customer_Name" dataDxfId="37"/>
    <tableColumn id="5" name="Product_ID" dataDxfId="36"/>
    <tableColumn id="6" name="Product_Name" dataDxfId="35"/>
    <tableColumn id="7" name="Category" dataDxfId="34"/>
    <tableColumn id="8" name="Quantity" dataDxfId="33"/>
    <tableColumn id="9" name="Unit_Price" dataDxfId="32"/>
    <tableColumn id="10" name="Payment_Method" dataDxfId="31"/>
    <tableColumn id="11" name="Region" dataDxfId="30"/>
    <tableColumn id="12" name="Customer_Segment" dataDxfId="29"/>
    <tableColumn id="13" name="Customer_Since" dataDxfId="28"/>
    <tableColumn id="14" name="Total_Amount" dataDxfId="27"/>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zoomScale="86" workbookViewId="0">
      <selection activeCell="A20" sqref="A20"/>
    </sheetView>
  </sheetViews>
  <sheetFormatPr defaultRowHeight="14"/>
  <cols>
    <col min="1" max="1" width="19.58203125" bestFit="1" customWidth="1"/>
    <col min="2" max="2" width="10.75" style="1" bestFit="1" customWidth="1"/>
    <col min="3" max="3" width="17.75" bestFit="1" customWidth="1"/>
    <col min="4" max="4" width="21.33203125" bestFit="1" customWidth="1"/>
    <col min="5" max="5" width="16.08203125" bestFit="1" customWidth="1"/>
    <col min="6" max="6" width="19.6640625" bestFit="1" customWidth="1"/>
    <col min="7" max="7" width="14.33203125" bestFit="1" customWidth="1"/>
    <col min="8" max="8" width="14.25" style="9" bestFit="1" customWidth="1"/>
    <col min="9" max="9" width="15.75" style="34" bestFit="1" customWidth="1"/>
    <col min="10" max="10" width="22.6640625" bestFit="1" customWidth="1"/>
    <col min="11" max="11" width="12.6640625" bestFit="1" customWidth="1"/>
    <col min="12" max="12" width="24" bestFit="1" customWidth="1"/>
    <col min="13" max="13" width="19.9140625" style="1" bestFit="1" customWidth="1"/>
    <col min="14" max="14" width="19.08203125" style="34" bestFit="1" customWidth="1"/>
    <col min="17" max="17" width="23" bestFit="1" customWidth="1"/>
  </cols>
  <sheetData>
    <row r="1" spans="1:14" ht="14.5">
      <c r="A1" s="2" t="s">
        <v>0</v>
      </c>
      <c r="B1" s="6" t="s">
        <v>1</v>
      </c>
      <c r="C1" s="3" t="s">
        <v>2</v>
      </c>
      <c r="D1" s="3" t="s">
        <v>3</v>
      </c>
      <c r="E1" s="3" t="s">
        <v>4</v>
      </c>
      <c r="F1" s="3" t="s">
        <v>5</v>
      </c>
      <c r="G1" s="3" t="s">
        <v>6</v>
      </c>
      <c r="H1" s="7" t="s">
        <v>7</v>
      </c>
      <c r="I1" s="32" t="s">
        <v>8</v>
      </c>
      <c r="J1" s="3" t="s">
        <v>9</v>
      </c>
      <c r="K1" s="3" t="s">
        <v>10</v>
      </c>
      <c r="L1" s="3" t="s">
        <v>11</v>
      </c>
      <c r="M1" s="6" t="s">
        <v>12</v>
      </c>
      <c r="N1" s="35" t="s">
        <v>13</v>
      </c>
    </row>
    <row r="2" spans="1:14" ht="14.5">
      <c r="A2" s="4" t="s">
        <v>385</v>
      </c>
      <c r="B2" s="5">
        <v>45740</v>
      </c>
      <c r="C2" s="4" t="s">
        <v>386</v>
      </c>
      <c r="D2" s="4" t="s">
        <v>387</v>
      </c>
      <c r="E2" s="4" t="s">
        <v>44</v>
      </c>
      <c r="F2" s="4" t="s">
        <v>45</v>
      </c>
      <c r="G2" s="4" t="s">
        <v>46</v>
      </c>
      <c r="H2" s="8">
        <v>4</v>
      </c>
      <c r="I2" s="33">
        <v>149.99</v>
      </c>
      <c r="J2" s="4" t="s">
        <v>34</v>
      </c>
      <c r="K2" s="4" t="s">
        <v>50</v>
      </c>
      <c r="L2" s="4" t="s">
        <v>36</v>
      </c>
      <c r="M2" s="5">
        <v>44560</v>
      </c>
      <c r="N2" s="33">
        <v>599.96</v>
      </c>
    </row>
    <row r="3" spans="1:14" ht="14.5">
      <c r="A3" s="4" t="s">
        <v>131</v>
      </c>
      <c r="B3" s="5">
        <v>45430</v>
      </c>
      <c r="C3" s="4" t="s">
        <v>132</v>
      </c>
      <c r="D3" s="4" t="s">
        <v>133</v>
      </c>
      <c r="E3" s="4" t="s">
        <v>44</v>
      </c>
      <c r="F3" s="4" t="s">
        <v>45</v>
      </c>
      <c r="G3" s="4" t="s">
        <v>46</v>
      </c>
      <c r="H3" s="8">
        <v>3</v>
      </c>
      <c r="I3" s="33">
        <v>149.99</v>
      </c>
      <c r="J3" s="4" t="s">
        <v>26</v>
      </c>
      <c r="K3" s="4" t="s">
        <v>50</v>
      </c>
      <c r="L3" s="4" t="s">
        <v>27</v>
      </c>
      <c r="M3" s="5">
        <v>45068</v>
      </c>
      <c r="N3" s="33">
        <v>449.97</v>
      </c>
    </row>
    <row r="4" spans="1:14" ht="14.5">
      <c r="A4" s="4" t="s">
        <v>178</v>
      </c>
      <c r="B4" s="5">
        <v>45474</v>
      </c>
      <c r="C4" s="4" t="s">
        <v>132</v>
      </c>
      <c r="D4" s="4" t="s">
        <v>133</v>
      </c>
      <c r="E4" s="4" t="s">
        <v>117</v>
      </c>
      <c r="F4" s="4" t="s">
        <v>118</v>
      </c>
      <c r="G4" s="4" t="s">
        <v>19</v>
      </c>
      <c r="H4" s="8">
        <v>2</v>
      </c>
      <c r="I4" s="33">
        <v>89.99</v>
      </c>
      <c r="J4" s="4" t="s">
        <v>34</v>
      </c>
      <c r="K4" s="4" t="s">
        <v>21</v>
      </c>
      <c r="L4" s="4" t="s">
        <v>27</v>
      </c>
      <c r="M4" s="5">
        <v>45275</v>
      </c>
      <c r="N4" s="33">
        <v>179.98</v>
      </c>
    </row>
    <row r="5" spans="1:14" ht="14.5">
      <c r="A5" s="4" t="s">
        <v>240</v>
      </c>
      <c r="B5" s="5">
        <v>45544</v>
      </c>
      <c r="C5" s="4" t="s">
        <v>132</v>
      </c>
      <c r="D5" s="4" t="s">
        <v>133</v>
      </c>
      <c r="E5" s="4" t="s">
        <v>31</v>
      </c>
      <c r="F5" s="4" t="s">
        <v>32</v>
      </c>
      <c r="G5" s="4" t="s">
        <v>33</v>
      </c>
      <c r="H5" s="8">
        <v>3</v>
      </c>
      <c r="I5" s="33">
        <v>59.99</v>
      </c>
      <c r="J5" s="4" t="s">
        <v>34</v>
      </c>
      <c r="K5" s="4" t="s">
        <v>63</v>
      </c>
      <c r="L5" s="4" t="s">
        <v>36</v>
      </c>
      <c r="M5" s="5">
        <v>44748</v>
      </c>
      <c r="N5" s="33">
        <v>179.97</v>
      </c>
    </row>
    <row r="6" spans="1:14" ht="14.5">
      <c r="A6" s="4" t="s">
        <v>311</v>
      </c>
      <c r="B6" s="5">
        <v>45644</v>
      </c>
      <c r="C6" s="4" t="s">
        <v>132</v>
      </c>
      <c r="D6" s="4" t="s">
        <v>133</v>
      </c>
      <c r="E6" s="4" t="s">
        <v>31</v>
      </c>
      <c r="F6" s="4" t="s">
        <v>32</v>
      </c>
      <c r="G6" s="4" t="s">
        <v>33</v>
      </c>
      <c r="H6" s="8">
        <v>2</v>
      </c>
      <c r="I6" s="33">
        <v>59.99</v>
      </c>
      <c r="J6" s="4" t="s">
        <v>20</v>
      </c>
      <c r="K6" s="4" t="s">
        <v>50</v>
      </c>
      <c r="L6" s="4" t="s">
        <v>22</v>
      </c>
      <c r="M6" s="5">
        <v>45191</v>
      </c>
      <c r="N6" s="33">
        <v>119.98</v>
      </c>
    </row>
    <row r="7" spans="1:14" ht="14.5">
      <c r="A7" s="4" t="s">
        <v>381</v>
      </c>
      <c r="B7" s="5">
        <v>45737</v>
      </c>
      <c r="C7" s="4" t="s">
        <v>132</v>
      </c>
      <c r="D7" s="4" t="s">
        <v>133</v>
      </c>
      <c r="E7" s="4" t="s">
        <v>44</v>
      </c>
      <c r="F7" s="4" t="s">
        <v>45</v>
      </c>
      <c r="G7" s="4" t="s">
        <v>46</v>
      </c>
      <c r="H7" s="8">
        <v>2</v>
      </c>
      <c r="I7" s="33">
        <v>149.99</v>
      </c>
      <c r="J7" s="4" t="s">
        <v>20</v>
      </c>
      <c r="K7" s="4" t="s">
        <v>50</v>
      </c>
      <c r="L7" s="4" t="s">
        <v>27</v>
      </c>
      <c r="M7" s="5">
        <v>45233</v>
      </c>
      <c r="N7" s="33">
        <v>299.98</v>
      </c>
    </row>
    <row r="8" spans="1:14" ht="14.5">
      <c r="A8" s="4" t="s">
        <v>41</v>
      </c>
      <c r="B8" s="5">
        <v>45400</v>
      </c>
      <c r="C8" s="4" t="s">
        <v>42</v>
      </c>
      <c r="D8" s="4" t="s">
        <v>43</v>
      </c>
      <c r="E8" s="4" t="s">
        <v>44</v>
      </c>
      <c r="F8" s="4" t="s">
        <v>45</v>
      </c>
      <c r="G8" s="4" t="s">
        <v>46</v>
      </c>
      <c r="H8" s="8">
        <v>5</v>
      </c>
      <c r="I8" s="33">
        <v>149.99</v>
      </c>
      <c r="J8" s="4" t="s">
        <v>26</v>
      </c>
      <c r="K8" s="4" t="s">
        <v>40</v>
      </c>
      <c r="L8" s="4" t="s">
        <v>27</v>
      </c>
      <c r="M8" s="5">
        <v>45295</v>
      </c>
      <c r="N8" s="33">
        <v>749.95</v>
      </c>
    </row>
    <row r="9" spans="1:14" ht="14.5">
      <c r="A9" s="4" t="s">
        <v>160</v>
      </c>
      <c r="B9" s="5">
        <v>45450</v>
      </c>
      <c r="C9" s="4" t="s">
        <v>42</v>
      </c>
      <c r="D9" s="4" t="s">
        <v>43</v>
      </c>
      <c r="E9" s="4" t="s">
        <v>44</v>
      </c>
      <c r="F9" s="4" t="s">
        <v>45</v>
      </c>
      <c r="G9" s="4" t="s">
        <v>46</v>
      </c>
      <c r="H9" s="8">
        <v>2</v>
      </c>
      <c r="I9" s="33">
        <v>149.99</v>
      </c>
      <c r="J9" s="4" t="s">
        <v>20</v>
      </c>
      <c r="K9" s="4" t="s">
        <v>63</v>
      </c>
      <c r="L9" s="4" t="s">
        <v>27</v>
      </c>
      <c r="M9" s="5">
        <v>44645</v>
      </c>
      <c r="N9" s="33">
        <v>299.98</v>
      </c>
    </row>
    <row r="10" spans="1:14" ht="14.5">
      <c r="A10" s="4" t="s">
        <v>187</v>
      </c>
      <c r="B10" s="5">
        <v>45481</v>
      </c>
      <c r="C10" s="4" t="s">
        <v>42</v>
      </c>
      <c r="D10" s="4" t="s">
        <v>43</v>
      </c>
      <c r="E10" s="4" t="s">
        <v>80</v>
      </c>
      <c r="F10" s="4" t="s">
        <v>81</v>
      </c>
      <c r="G10" s="4" t="s">
        <v>19</v>
      </c>
      <c r="H10" s="8">
        <v>2</v>
      </c>
      <c r="I10" s="33">
        <v>699.99</v>
      </c>
      <c r="J10" s="4" t="s">
        <v>34</v>
      </c>
      <c r="K10" s="4" t="s">
        <v>63</v>
      </c>
      <c r="L10" s="4" t="s">
        <v>27</v>
      </c>
      <c r="M10" s="5">
        <v>45389</v>
      </c>
      <c r="N10" s="33">
        <v>1399.98</v>
      </c>
    </row>
    <row r="11" spans="1:14" ht="14.5">
      <c r="A11" s="4" t="s">
        <v>261</v>
      </c>
      <c r="B11" s="5">
        <v>45566</v>
      </c>
      <c r="C11" s="4" t="s">
        <v>42</v>
      </c>
      <c r="D11" s="4" t="s">
        <v>43</v>
      </c>
      <c r="E11" s="4" t="s">
        <v>105</v>
      </c>
      <c r="F11" s="4" t="s">
        <v>106</v>
      </c>
      <c r="G11" s="4" t="s">
        <v>46</v>
      </c>
      <c r="H11" s="8">
        <v>4</v>
      </c>
      <c r="I11" s="33">
        <v>299.99</v>
      </c>
      <c r="J11" s="4" t="s">
        <v>20</v>
      </c>
      <c r="K11" s="4" t="s">
        <v>21</v>
      </c>
      <c r="L11" s="4" t="s">
        <v>27</v>
      </c>
      <c r="M11" s="5">
        <v>44460</v>
      </c>
      <c r="N11" s="33">
        <v>1199.96</v>
      </c>
    </row>
    <row r="12" spans="1:14" ht="14.5">
      <c r="A12" s="4" t="s">
        <v>314</v>
      </c>
      <c r="B12" s="5">
        <v>45646</v>
      </c>
      <c r="C12" s="4" t="s">
        <v>42</v>
      </c>
      <c r="D12" s="4" t="s">
        <v>43</v>
      </c>
      <c r="E12" s="4" t="s">
        <v>44</v>
      </c>
      <c r="F12" s="4" t="s">
        <v>45</v>
      </c>
      <c r="G12" s="4" t="s">
        <v>46</v>
      </c>
      <c r="H12" s="8">
        <v>2</v>
      </c>
      <c r="I12" s="33">
        <v>149.99</v>
      </c>
      <c r="J12" s="4" t="s">
        <v>20</v>
      </c>
      <c r="K12" s="4" t="s">
        <v>35</v>
      </c>
      <c r="L12" s="4" t="s">
        <v>22</v>
      </c>
      <c r="M12" s="5">
        <v>45239</v>
      </c>
      <c r="N12" s="33">
        <v>299.98</v>
      </c>
    </row>
    <row r="13" spans="1:14" ht="14.5">
      <c r="A13" s="4" t="s">
        <v>318</v>
      </c>
      <c r="B13" s="5">
        <v>45654</v>
      </c>
      <c r="C13" s="4" t="s">
        <v>42</v>
      </c>
      <c r="D13" s="4" t="s">
        <v>43</v>
      </c>
      <c r="E13" s="4" t="s">
        <v>105</v>
      </c>
      <c r="F13" s="4" t="s">
        <v>106</v>
      </c>
      <c r="G13" s="4" t="s">
        <v>46</v>
      </c>
      <c r="H13" s="8">
        <v>2</v>
      </c>
      <c r="I13" s="33">
        <v>299.99</v>
      </c>
      <c r="J13" s="4" t="s">
        <v>20</v>
      </c>
      <c r="K13" s="4" t="s">
        <v>50</v>
      </c>
      <c r="L13" s="4" t="s">
        <v>22</v>
      </c>
      <c r="M13" s="5">
        <v>44771</v>
      </c>
      <c r="N13" s="33">
        <v>599.98</v>
      </c>
    </row>
    <row r="14" spans="1:14" ht="14.5">
      <c r="A14" s="4" t="s">
        <v>328</v>
      </c>
      <c r="B14" s="5">
        <v>45663</v>
      </c>
      <c r="C14" s="4" t="s">
        <v>42</v>
      </c>
      <c r="D14" s="4" t="s">
        <v>43</v>
      </c>
      <c r="E14" s="4" t="s">
        <v>105</v>
      </c>
      <c r="F14" s="4" t="s">
        <v>106</v>
      </c>
      <c r="G14" s="4" t="s">
        <v>46</v>
      </c>
      <c r="H14" s="8">
        <v>3</v>
      </c>
      <c r="I14" s="33">
        <v>299.99</v>
      </c>
      <c r="J14" s="4" t="s">
        <v>20</v>
      </c>
      <c r="K14" s="4" t="s">
        <v>35</v>
      </c>
      <c r="L14" s="4" t="s">
        <v>36</v>
      </c>
      <c r="M14" s="5">
        <v>44422</v>
      </c>
      <c r="N14" s="33">
        <v>899.97</v>
      </c>
    </row>
    <row r="15" spans="1:14" ht="14.5">
      <c r="A15" s="4" t="s">
        <v>350</v>
      </c>
      <c r="B15" s="5">
        <v>45688</v>
      </c>
      <c r="C15" s="4" t="s">
        <v>42</v>
      </c>
      <c r="D15" s="4" t="s">
        <v>43</v>
      </c>
      <c r="E15" s="4" t="s">
        <v>117</v>
      </c>
      <c r="F15" s="4" t="s">
        <v>118</v>
      </c>
      <c r="G15" s="4" t="s">
        <v>19</v>
      </c>
      <c r="H15" s="8">
        <v>3</v>
      </c>
      <c r="I15" s="33">
        <v>89.99</v>
      </c>
      <c r="J15" s="4" t="s">
        <v>57</v>
      </c>
      <c r="K15" s="4" t="s">
        <v>35</v>
      </c>
      <c r="L15" s="4" t="s">
        <v>27</v>
      </c>
      <c r="M15" s="5">
        <v>45307</v>
      </c>
      <c r="N15" s="33">
        <v>269.97000000000003</v>
      </c>
    </row>
    <row r="16" spans="1:14" ht="14.5">
      <c r="A16" s="4" t="s">
        <v>360</v>
      </c>
      <c r="B16" s="5">
        <v>45707</v>
      </c>
      <c r="C16" s="4" t="s">
        <v>42</v>
      </c>
      <c r="D16" s="4" t="s">
        <v>43</v>
      </c>
      <c r="E16" s="4" t="s">
        <v>44</v>
      </c>
      <c r="F16" s="4" t="s">
        <v>45</v>
      </c>
      <c r="G16" s="4" t="s">
        <v>46</v>
      </c>
      <c r="H16" s="8">
        <v>3</v>
      </c>
      <c r="I16" s="33">
        <v>149.99</v>
      </c>
      <c r="J16" s="4" t="s">
        <v>34</v>
      </c>
      <c r="K16" s="4" t="s">
        <v>21</v>
      </c>
      <c r="L16" s="4" t="s">
        <v>36</v>
      </c>
      <c r="M16" s="5">
        <v>44633</v>
      </c>
      <c r="N16" s="33">
        <v>449.97</v>
      </c>
    </row>
    <row r="17" spans="1:14" ht="14.5">
      <c r="A17" s="4" t="s">
        <v>153</v>
      </c>
      <c r="B17" s="5">
        <v>45446</v>
      </c>
      <c r="C17" s="4" t="s">
        <v>154</v>
      </c>
      <c r="D17" s="4" t="s">
        <v>155</v>
      </c>
      <c r="E17" s="4" t="s">
        <v>117</v>
      </c>
      <c r="F17" s="4" t="s">
        <v>118</v>
      </c>
      <c r="G17" s="4" t="s">
        <v>19</v>
      </c>
      <c r="H17" s="8">
        <v>5</v>
      </c>
      <c r="I17" s="33">
        <v>89.99</v>
      </c>
      <c r="J17" s="4" t="s">
        <v>26</v>
      </c>
      <c r="K17" s="4" t="s">
        <v>63</v>
      </c>
      <c r="L17" s="4" t="s">
        <v>36</v>
      </c>
      <c r="M17" s="5">
        <v>44587</v>
      </c>
      <c r="N17" s="33">
        <v>449.95</v>
      </c>
    </row>
    <row r="18" spans="1:14" ht="14.5">
      <c r="A18" s="4" t="s">
        <v>249</v>
      </c>
      <c r="B18" s="5">
        <v>45551</v>
      </c>
      <c r="C18" s="4" t="s">
        <v>154</v>
      </c>
      <c r="D18" s="4" t="s">
        <v>155</v>
      </c>
      <c r="E18" s="4" t="s">
        <v>126</v>
      </c>
      <c r="F18" s="4" t="s">
        <v>127</v>
      </c>
      <c r="G18" s="4" t="s">
        <v>46</v>
      </c>
      <c r="H18" s="8">
        <v>4</v>
      </c>
      <c r="I18" s="33">
        <v>199.99</v>
      </c>
      <c r="J18" s="4" t="s">
        <v>57</v>
      </c>
      <c r="K18" s="4" t="s">
        <v>63</v>
      </c>
      <c r="L18" s="4" t="s">
        <v>22</v>
      </c>
      <c r="M18" s="5">
        <v>44458</v>
      </c>
      <c r="N18" s="33">
        <v>799.96</v>
      </c>
    </row>
    <row r="19" spans="1:14" ht="14.5">
      <c r="A19" s="4" t="s">
        <v>274</v>
      </c>
      <c r="B19" s="5">
        <v>45588</v>
      </c>
      <c r="C19" s="4" t="s">
        <v>154</v>
      </c>
      <c r="D19" s="4" t="s">
        <v>155</v>
      </c>
      <c r="E19" s="4" t="s">
        <v>80</v>
      </c>
      <c r="F19" s="4" t="s">
        <v>81</v>
      </c>
      <c r="G19" s="4" t="s">
        <v>19</v>
      </c>
      <c r="H19" s="8">
        <v>2</v>
      </c>
      <c r="I19" s="33">
        <v>699.99</v>
      </c>
      <c r="J19" s="4" t="s">
        <v>20</v>
      </c>
      <c r="K19" s="4" t="s">
        <v>21</v>
      </c>
      <c r="L19" s="4" t="s">
        <v>22</v>
      </c>
      <c r="M19" s="5">
        <v>44992</v>
      </c>
      <c r="N19" s="33">
        <v>1399.98</v>
      </c>
    </row>
    <row r="20" spans="1:14" ht="14.5">
      <c r="A20" s="4" t="s">
        <v>285</v>
      </c>
      <c r="B20" s="5">
        <v>45608</v>
      </c>
      <c r="C20" s="4" t="s">
        <v>154</v>
      </c>
      <c r="D20" s="4" t="s">
        <v>155</v>
      </c>
      <c r="E20" s="4" t="s">
        <v>44</v>
      </c>
      <c r="F20" s="4" t="s">
        <v>45</v>
      </c>
      <c r="G20" s="4" t="s">
        <v>46</v>
      </c>
      <c r="H20" s="8">
        <v>5</v>
      </c>
      <c r="I20" s="33">
        <v>149.99</v>
      </c>
      <c r="J20" s="4" t="s">
        <v>34</v>
      </c>
      <c r="K20" s="4" t="s">
        <v>21</v>
      </c>
      <c r="L20" s="4" t="s">
        <v>22</v>
      </c>
      <c r="M20" s="5">
        <v>44901</v>
      </c>
      <c r="N20" s="33">
        <v>749.95</v>
      </c>
    </row>
    <row r="21" spans="1:14" ht="14.5">
      <c r="A21" s="4" t="s">
        <v>291</v>
      </c>
      <c r="B21" s="5">
        <v>45619</v>
      </c>
      <c r="C21" s="4" t="s">
        <v>154</v>
      </c>
      <c r="D21" s="4" t="s">
        <v>155</v>
      </c>
      <c r="E21" s="4" t="s">
        <v>80</v>
      </c>
      <c r="F21" s="4" t="s">
        <v>81</v>
      </c>
      <c r="G21" s="4" t="s">
        <v>19</v>
      </c>
      <c r="H21" s="8">
        <v>3</v>
      </c>
      <c r="I21" s="33">
        <v>699.99</v>
      </c>
      <c r="J21" s="4" t="s">
        <v>34</v>
      </c>
      <c r="K21" s="4" t="s">
        <v>50</v>
      </c>
      <c r="L21" s="4" t="s">
        <v>36</v>
      </c>
      <c r="M21" s="5">
        <v>44583</v>
      </c>
      <c r="N21" s="33">
        <v>2099.9699999999998</v>
      </c>
    </row>
    <row r="22" spans="1:14" ht="14.5">
      <c r="A22" s="4" t="s">
        <v>303</v>
      </c>
      <c r="B22" s="5">
        <v>45635</v>
      </c>
      <c r="C22" s="4" t="s">
        <v>304</v>
      </c>
      <c r="D22" s="4" t="s">
        <v>305</v>
      </c>
      <c r="E22" s="4" t="s">
        <v>31</v>
      </c>
      <c r="F22" s="4" t="s">
        <v>32</v>
      </c>
      <c r="G22" s="4" t="s">
        <v>33</v>
      </c>
      <c r="H22" s="8">
        <v>3</v>
      </c>
      <c r="I22" s="33">
        <v>59.99</v>
      </c>
      <c r="J22" s="4" t="s">
        <v>20</v>
      </c>
      <c r="K22" s="4" t="s">
        <v>21</v>
      </c>
      <c r="L22" s="4" t="s">
        <v>27</v>
      </c>
      <c r="M22" s="5">
        <v>45052</v>
      </c>
      <c r="N22" s="33">
        <v>179.97</v>
      </c>
    </row>
    <row r="23" spans="1:14" ht="14.5">
      <c r="A23" s="4" t="s">
        <v>128</v>
      </c>
      <c r="B23" s="5">
        <v>45428</v>
      </c>
      <c r="C23" s="4" t="s">
        <v>129</v>
      </c>
      <c r="D23" s="4" t="s">
        <v>130</v>
      </c>
      <c r="E23" s="4" t="s">
        <v>44</v>
      </c>
      <c r="F23" s="4" t="s">
        <v>45</v>
      </c>
      <c r="G23" s="4" t="s">
        <v>46</v>
      </c>
      <c r="H23" s="8">
        <v>2</v>
      </c>
      <c r="I23" s="33">
        <v>149.99</v>
      </c>
      <c r="J23" s="4" t="s">
        <v>26</v>
      </c>
      <c r="K23" s="4" t="s">
        <v>50</v>
      </c>
      <c r="L23" s="4" t="s">
        <v>22</v>
      </c>
      <c r="M23" s="5">
        <v>44823</v>
      </c>
      <c r="N23" s="33">
        <v>299.98</v>
      </c>
    </row>
    <row r="24" spans="1:14" ht="14.5">
      <c r="A24" s="4" t="s">
        <v>136</v>
      </c>
      <c r="B24" s="5">
        <v>45435</v>
      </c>
      <c r="C24" s="4" t="s">
        <v>129</v>
      </c>
      <c r="D24" s="4" t="s">
        <v>130</v>
      </c>
      <c r="E24" s="4" t="s">
        <v>114</v>
      </c>
      <c r="F24" s="4" t="s">
        <v>115</v>
      </c>
      <c r="G24" s="4" t="s">
        <v>33</v>
      </c>
      <c r="H24" s="8">
        <v>3</v>
      </c>
      <c r="I24" s="33">
        <v>79.989999999999995</v>
      </c>
      <c r="J24" s="4" t="s">
        <v>20</v>
      </c>
      <c r="K24" s="4" t="s">
        <v>35</v>
      </c>
      <c r="L24" s="4" t="s">
        <v>22</v>
      </c>
      <c r="M24" s="5">
        <v>45046</v>
      </c>
      <c r="N24" s="33">
        <v>239.97</v>
      </c>
    </row>
    <row r="25" spans="1:14" ht="14.5">
      <c r="A25" s="4" t="s">
        <v>164</v>
      </c>
      <c r="B25" s="5">
        <v>45456</v>
      </c>
      <c r="C25" s="4" t="s">
        <v>129</v>
      </c>
      <c r="D25" s="4" t="s">
        <v>130</v>
      </c>
      <c r="E25" s="4" t="s">
        <v>117</v>
      </c>
      <c r="F25" s="4" t="s">
        <v>118</v>
      </c>
      <c r="G25" s="4" t="s">
        <v>19</v>
      </c>
      <c r="H25" s="8">
        <v>5</v>
      </c>
      <c r="I25" s="33">
        <v>89.99</v>
      </c>
      <c r="J25" s="4" t="s">
        <v>20</v>
      </c>
      <c r="K25" s="4" t="s">
        <v>21</v>
      </c>
      <c r="L25" s="4" t="s">
        <v>27</v>
      </c>
      <c r="M25" s="5">
        <v>44579</v>
      </c>
      <c r="N25" s="33">
        <v>449.95</v>
      </c>
    </row>
    <row r="26" spans="1:14" ht="14.5">
      <c r="A26" s="4" t="s">
        <v>327</v>
      </c>
      <c r="B26" s="5">
        <v>45663</v>
      </c>
      <c r="C26" s="4" t="s">
        <v>129</v>
      </c>
      <c r="D26" s="4" t="s">
        <v>130</v>
      </c>
      <c r="E26" s="4" t="s">
        <v>52</v>
      </c>
      <c r="F26" s="4" t="s">
        <v>53</v>
      </c>
      <c r="G26" s="4" t="s">
        <v>19</v>
      </c>
      <c r="H26" s="8">
        <v>5</v>
      </c>
      <c r="I26" s="33">
        <v>149.99</v>
      </c>
      <c r="J26" s="4" t="s">
        <v>34</v>
      </c>
      <c r="K26" s="4" t="s">
        <v>63</v>
      </c>
      <c r="L26" s="4" t="s">
        <v>27</v>
      </c>
      <c r="M26" s="5">
        <v>44824</v>
      </c>
      <c r="N26" s="33">
        <v>749.95</v>
      </c>
    </row>
    <row r="27" spans="1:14" ht="14.5">
      <c r="A27" s="4" t="s">
        <v>342</v>
      </c>
      <c r="B27" s="5">
        <v>45676</v>
      </c>
      <c r="C27" s="4" t="s">
        <v>129</v>
      </c>
      <c r="D27" s="4" t="s">
        <v>130</v>
      </c>
      <c r="E27" s="4" t="s">
        <v>31</v>
      </c>
      <c r="F27" s="4" t="s">
        <v>32</v>
      </c>
      <c r="G27" s="4" t="s">
        <v>33</v>
      </c>
      <c r="H27" s="8">
        <v>5</v>
      </c>
      <c r="I27" s="33">
        <v>59.99</v>
      </c>
      <c r="J27" s="4" t="s">
        <v>57</v>
      </c>
      <c r="K27" s="4" t="s">
        <v>63</v>
      </c>
      <c r="L27" s="4" t="s">
        <v>22</v>
      </c>
      <c r="M27" s="5">
        <v>44642</v>
      </c>
      <c r="N27" s="33">
        <v>299.95</v>
      </c>
    </row>
    <row r="28" spans="1:14" ht="14.5">
      <c r="A28" s="4" t="s">
        <v>181</v>
      </c>
      <c r="B28" s="5">
        <v>45476</v>
      </c>
      <c r="C28" s="4" t="s">
        <v>182</v>
      </c>
      <c r="D28" s="4" t="s">
        <v>183</v>
      </c>
      <c r="E28" s="4" t="s">
        <v>114</v>
      </c>
      <c r="F28" s="4" t="s">
        <v>115</v>
      </c>
      <c r="G28" s="4" t="s">
        <v>33</v>
      </c>
      <c r="H28" s="8">
        <v>5</v>
      </c>
      <c r="I28" s="33">
        <v>79.989999999999995</v>
      </c>
      <c r="J28" s="4" t="s">
        <v>57</v>
      </c>
      <c r="K28" s="4" t="s">
        <v>21</v>
      </c>
      <c r="L28" s="4" t="s">
        <v>22</v>
      </c>
      <c r="M28" s="5">
        <v>44981</v>
      </c>
      <c r="N28" s="33">
        <v>399.95</v>
      </c>
    </row>
    <row r="29" spans="1:14" ht="14.5">
      <c r="A29" s="4" t="s">
        <v>202</v>
      </c>
      <c r="B29" s="5">
        <v>45498</v>
      </c>
      <c r="C29" s="4" t="s">
        <v>182</v>
      </c>
      <c r="D29" s="4" t="s">
        <v>183</v>
      </c>
      <c r="E29" s="4" t="s">
        <v>31</v>
      </c>
      <c r="F29" s="4" t="s">
        <v>32</v>
      </c>
      <c r="G29" s="4" t="s">
        <v>33</v>
      </c>
      <c r="H29" s="8">
        <v>2</v>
      </c>
      <c r="I29" s="33">
        <v>59.99</v>
      </c>
      <c r="J29" s="4" t="s">
        <v>20</v>
      </c>
      <c r="K29" s="4" t="s">
        <v>40</v>
      </c>
      <c r="L29" s="4" t="s">
        <v>36</v>
      </c>
      <c r="M29" s="5">
        <v>45152</v>
      </c>
      <c r="N29" s="33">
        <v>119.98</v>
      </c>
    </row>
    <row r="30" spans="1:14" ht="14.5">
      <c r="A30" s="4" t="s">
        <v>216</v>
      </c>
      <c r="B30" s="5">
        <v>45517</v>
      </c>
      <c r="C30" s="4" t="s">
        <v>182</v>
      </c>
      <c r="D30" s="4" t="s">
        <v>183</v>
      </c>
      <c r="E30" s="4" t="s">
        <v>52</v>
      </c>
      <c r="F30" s="4" t="s">
        <v>53</v>
      </c>
      <c r="G30" s="4" t="s">
        <v>19</v>
      </c>
      <c r="H30" s="8">
        <v>4</v>
      </c>
      <c r="I30" s="33">
        <v>149.99</v>
      </c>
      <c r="J30" s="4" t="s">
        <v>57</v>
      </c>
      <c r="K30" s="4" t="s">
        <v>35</v>
      </c>
      <c r="L30" s="4" t="s">
        <v>27</v>
      </c>
      <c r="M30" s="5">
        <v>44820</v>
      </c>
      <c r="N30" s="33">
        <v>599.96</v>
      </c>
    </row>
    <row r="31" spans="1:14" ht="14.5">
      <c r="A31" s="4" t="s">
        <v>309</v>
      </c>
      <c r="B31" s="5">
        <v>45641</v>
      </c>
      <c r="C31" s="4" t="s">
        <v>182</v>
      </c>
      <c r="D31" s="4" t="s">
        <v>183</v>
      </c>
      <c r="E31" s="4" t="s">
        <v>44</v>
      </c>
      <c r="F31" s="4" t="s">
        <v>45</v>
      </c>
      <c r="G31" s="4" t="s">
        <v>46</v>
      </c>
      <c r="H31" s="8">
        <v>1</v>
      </c>
      <c r="I31" s="33">
        <v>149.99</v>
      </c>
      <c r="J31" s="4" t="s">
        <v>57</v>
      </c>
      <c r="K31" s="4" t="s">
        <v>63</v>
      </c>
      <c r="L31" s="4" t="s">
        <v>36</v>
      </c>
      <c r="M31" s="5">
        <v>45200</v>
      </c>
      <c r="N31" s="33">
        <v>149.99</v>
      </c>
    </row>
    <row r="32" spans="1:14" ht="14.5">
      <c r="A32" s="4" t="s">
        <v>312</v>
      </c>
      <c r="B32" s="5">
        <v>45645</v>
      </c>
      <c r="C32" s="4" t="s">
        <v>182</v>
      </c>
      <c r="D32" s="4" t="s">
        <v>183</v>
      </c>
      <c r="E32" s="4" t="s">
        <v>117</v>
      </c>
      <c r="F32" s="4" t="s">
        <v>118</v>
      </c>
      <c r="G32" s="4" t="s">
        <v>19</v>
      </c>
      <c r="H32" s="8">
        <v>1</v>
      </c>
      <c r="I32" s="33">
        <v>89.99</v>
      </c>
      <c r="J32" s="4" t="s">
        <v>57</v>
      </c>
      <c r="K32" s="4" t="s">
        <v>21</v>
      </c>
      <c r="L32" s="4" t="s">
        <v>36</v>
      </c>
      <c r="M32" s="5">
        <v>44760</v>
      </c>
      <c r="N32" s="33">
        <v>89.99</v>
      </c>
    </row>
    <row r="33" spans="1:14" ht="14.5">
      <c r="A33" s="4" t="s">
        <v>316</v>
      </c>
      <c r="B33" s="5">
        <v>45648</v>
      </c>
      <c r="C33" s="4" t="s">
        <v>182</v>
      </c>
      <c r="D33" s="4" t="s">
        <v>183</v>
      </c>
      <c r="E33" s="4" t="s">
        <v>44</v>
      </c>
      <c r="F33" s="4" t="s">
        <v>45</v>
      </c>
      <c r="G33" s="4" t="s">
        <v>46</v>
      </c>
      <c r="H33" s="8">
        <v>3</v>
      </c>
      <c r="I33" s="33">
        <v>149.99</v>
      </c>
      <c r="J33" s="4" t="s">
        <v>57</v>
      </c>
      <c r="K33" s="4" t="s">
        <v>40</v>
      </c>
      <c r="L33" s="4" t="s">
        <v>36</v>
      </c>
      <c r="M33" s="5">
        <v>44522</v>
      </c>
      <c r="N33" s="33">
        <v>449.97</v>
      </c>
    </row>
    <row r="34" spans="1:14" ht="14.5">
      <c r="A34" s="4" t="s">
        <v>140</v>
      </c>
      <c r="B34" s="5">
        <v>45440</v>
      </c>
      <c r="C34" s="4" t="s">
        <v>141</v>
      </c>
      <c r="D34" s="4" t="s">
        <v>142</v>
      </c>
      <c r="E34" s="4" t="s">
        <v>80</v>
      </c>
      <c r="F34" s="4" t="s">
        <v>81</v>
      </c>
      <c r="G34" s="4" t="s">
        <v>19</v>
      </c>
      <c r="H34" s="8">
        <v>5</v>
      </c>
      <c r="I34" s="33">
        <v>699.99</v>
      </c>
      <c r="J34" s="4" t="s">
        <v>34</v>
      </c>
      <c r="K34" s="4" t="s">
        <v>50</v>
      </c>
      <c r="L34" s="4" t="s">
        <v>36</v>
      </c>
      <c r="M34" s="5">
        <v>44407</v>
      </c>
      <c r="N34" s="33">
        <v>3499.95</v>
      </c>
    </row>
    <row r="35" spans="1:14" ht="14.5">
      <c r="A35" s="4" t="s">
        <v>169</v>
      </c>
      <c r="B35" s="5">
        <v>45460</v>
      </c>
      <c r="C35" s="4" t="s">
        <v>141</v>
      </c>
      <c r="D35" s="4" t="s">
        <v>142</v>
      </c>
      <c r="E35" s="4" t="s">
        <v>105</v>
      </c>
      <c r="F35" s="4" t="s">
        <v>106</v>
      </c>
      <c r="G35" s="4" t="s">
        <v>46</v>
      </c>
      <c r="H35" s="8">
        <v>2</v>
      </c>
      <c r="I35" s="33">
        <v>299.99</v>
      </c>
      <c r="J35" s="4" t="s">
        <v>57</v>
      </c>
      <c r="K35" s="4" t="s">
        <v>63</v>
      </c>
      <c r="L35" s="4" t="s">
        <v>36</v>
      </c>
      <c r="M35" s="5">
        <v>45253</v>
      </c>
      <c r="N35" s="33">
        <v>599.98</v>
      </c>
    </row>
    <row r="36" spans="1:14" ht="14.5">
      <c r="A36" s="4" t="s">
        <v>241</v>
      </c>
      <c r="B36" s="5">
        <v>45544</v>
      </c>
      <c r="C36" s="4" t="s">
        <v>141</v>
      </c>
      <c r="D36" s="4" t="s">
        <v>142</v>
      </c>
      <c r="E36" s="4" t="s">
        <v>114</v>
      </c>
      <c r="F36" s="4" t="s">
        <v>115</v>
      </c>
      <c r="G36" s="4" t="s">
        <v>33</v>
      </c>
      <c r="H36" s="8">
        <v>4</v>
      </c>
      <c r="I36" s="33">
        <v>79.989999999999995</v>
      </c>
      <c r="J36" s="4" t="s">
        <v>20</v>
      </c>
      <c r="K36" s="4" t="s">
        <v>40</v>
      </c>
      <c r="L36" s="4" t="s">
        <v>22</v>
      </c>
      <c r="M36" s="5">
        <v>44530</v>
      </c>
      <c r="N36" s="33">
        <v>319.95999999999998</v>
      </c>
    </row>
    <row r="37" spans="1:14" ht="14.5">
      <c r="A37" s="4" t="s">
        <v>306</v>
      </c>
      <c r="B37" s="5">
        <v>45635</v>
      </c>
      <c r="C37" s="4" t="s">
        <v>141</v>
      </c>
      <c r="D37" s="4" t="s">
        <v>142</v>
      </c>
      <c r="E37" s="4" t="s">
        <v>114</v>
      </c>
      <c r="F37" s="4" t="s">
        <v>115</v>
      </c>
      <c r="G37" s="4" t="s">
        <v>33</v>
      </c>
      <c r="H37" s="8">
        <v>4</v>
      </c>
      <c r="I37" s="33">
        <v>79.989999999999995</v>
      </c>
      <c r="J37" s="4" t="s">
        <v>57</v>
      </c>
      <c r="K37" s="4" t="s">
        <v>63</v>
      </c>
      <c r="L37" s="4" t="s">
        <v>36</v>
      </c>
      <c r="M37" s="5">
        <v>44921</v>
      </c>
      <c r="N37" s="33">
        <v>319.95999999999998</v>
      </c>
    </row>
    <row r="38" spans="1:14" ht="14.5">
      <c r="A38" s="4" t="s">
        <v>58</v>
      </c>
      <c r="B38" s="5">
        <v>45405</v>
      </c>
      <c r="C38" s="4" t="s">
        <v>59</v>
      </c>
      <c r="D38" s="4" t="s">
        <v>60</v>
      </c>
      <c r="E38" s="4" t="s">
        <v>61</v>
      </c>
      <c r="F38" s="4" t="s">
        <v>62</v>
      </c>
      <c r="G38" s="4" t="s">
        <v>19</v>
      </c>
      <c r="H38" s="8">
        <v>3</v>
      </c>
      <c r="I38" s="33">
        <v>899.99</v>
      </c>
      <c r="J38" s="4" t="s">
        <v>34</v>
      </c>
      <c r="K38" s="4" t="s">
        <v>63</v>
      </c>
      <c r="L38" s="4" t="s">
        <v>36</v>
      </c>
      <c r="M38" s="5">
        <v>45299</v>
      </c>
      <c r="N38" s="33">
        <v>2699.97</v>
      </c>
    </row>
    <row r="39" spans="1:14" ht="14.5">
      <c r="A39" s="4" t="s">
        <v>174</v>
      </c>
      <c r="B39" s="5">
        <v>45469</v>
      </c>
      <c r="C39" s="4" t="s">
        <v>59</v>
      </c>
      <c r="D39" s="4" t="s">
        <v>60</v>
      </c>
      <c r="E39" s="4" t="s">
        <v>117</v>
      </c>
      <c r="F39" s="4" t="s">
        <v>118</v>
      </c>
      <c r="G39" s="4" t="s">
        <v>19</v>
      </c>
      <c r="H39" s="8">
        <v>2</v>
      </c>
      <c r="I39" s="33">
        <v>89.99</v>
      </c>
      <c r="J39" s="4" t="s">
        <v>20</v>
      </c>
      <c r="K39" s="4" t="s">
        <v>50</v>
      </c>
      <c r="L39" s="4" t="s">
        <v>22</v>
      </c>
      <c r="M39" s="5">
        <v>44438</v>
      </c>
      <c r="N39" s="33">
        <v>179.98</v>
      </c>
    </row>
    <row r="40" spans="1:14" ht="14.5">
      <c r="A40" s="4" t="s">
        <v>320</v>
      </c>
      <c r="B40" s="5">
        <v>45655</v>
      </c>
      <c r="C40" s="4" t="s">
        <v>59</v>
      </c>
      <c r="D40" s="4" t="s">
        <v>60</v>
      </c>
      <c r="E40" s="4" t="s">
        <v>117</v>
      </c>
      <c r="F40" s="4" t="s">
        <v>118</v>
      </c>
      <c r="G40" s="4" t="s">
        <v>19</v>
      </c>
      <c r="H40" s="8">
        <v>1</v>
      </c>
      <c r="I40" s="33">
        <v>89.99</v>
      </c>
      <c r="J40" s="4" t="s">
        <v>26</v>
      </c>
      <c r="K40" s="4" t="s">
        <v>35</v>
      </c>
      <c r="L40" s="4" t="s">
        <v>27</v>
      </c>
      <c r="M40" s="5">
        <v>44591</v>
      </c>
      <c r="N40" s="33">
        <v>89.99</v>
      </c>
    </row>
    <row r="41" spans="1:14" ht="14.5">
      <c r="A41" s="4" t="s">
        <v>341</v>
      </c>
      <c r="B41" s="5">
        <v>45673</v>
      </c>
      <c r="C41" s="4" t="s">
        <v>59</v>
      </c>
      <c r="D41" s="4" t="s">
        <v>60</v>
      </c>
      <c r="E41" s="4" t="s">
        <v>44</v>
      </c>
      <c r="F41" s="4" t="s">
        <v>45</v>
      </c>
      <c r="G41" s="4" t="s">
        <v>46</v>
      </c>
      <c r="H41" s="8">
        <v>3</v>
      </c>
      <c r="I41" s="33">
        <v>149.99</v>
      </c>
      <c r="J41" s="4" t="s">
        <v>26</v>
      </c>
      <c r="K41" s="4" t="s">
        <v>63</v>
      </c>
      <c r="L41" s="4" t="s">
        <v>36</v>
      </c>
      <c r="M41" s="5">
        <v>44395</v>
      </c>
      <c r="N41" s="33">
        <v>449.97</v>
      </c>
    </row>
    <row r="42" spans="1:14" ht="14.5">
      <c r="A42" s="4" t="s">
        <v>395</v>
      </c>
      <c r="B42" s="5">
        <v>45756</v>
      </c>
      <c r="C42" s="4" t="s">
        <v>59</v>
      </c>
      <c r="D42" s="4" t="s">
        <v>60</v>
      </c>
      <c r="E42" s="4" t="s">
        <v>117</v>
      </c>
      <c r="F42" s="4" t="s">
        <v>118</v>
      </c>
      <c r="G42" s="4" t="s">
        <v>19</v>
      </c>
      <c r="H42" s="8">
        <v>1</v>
      </c>
      <c r="I42" s="33">
        <v>89.99</v>
      </c>
      <c r="J42" s="4" t="s">
        <v>57</v>
      </c>
      <c r="K42" s="4" t="s">
        <v>63</v>
      </c>
      <c r="L42" s="4" t="s">
        <v>22</v>
      </c>
      <c r="M42" s="5">
        <v>45346</v>
      </c>
      <c r="N42" s="33">
        <v>89.99</v>
      </c>
    </row>
    <row r="43" spans="1:14" ht="14.5">
      <c r="A43" s="4" t="s">
        <v>88</v>
      </c>
      <c r="B43" s="5">
        <v>45410</v>
      </c>
      <c r="C43" s="4" t="s">
        <v>89</v>
      </c>
      <c r="D43" s="4" t="s">
        <v>90</v>
      </c>
      <c r="E43" s="4" t="s">
        <v>80</v>
      </c>
      <c r="F43" s="4" t="s">
        <v>81</v>
      </c>
      <c r="G43" s="4" t="s">
        <v>19</v>
      </c>
      <c r="H43" s="8">
        <v>2</v>
      </c>
      <c r="I43" s="33">
        <v>699.99</v>
      </c>
      <c r="J43" s="4" t="s">
        <v>20</v>
      </c>
      <c r="K43" s="4" t="s">
        <v>40</v>
      </c>
      <c r="L43" s="4" t="s">
        <v>22</v>
      </c>
      <c r="M43" s="5">
        <v>44781</v>
      </c>
      <c r="N43" s="33">
        <v>1399.98</v>
      </c>
    </row>
    <row r="44" spans="1:14" ht="14.5">
      <c r="A44" s="4" t="s">
        <v>214</v>
      </c>
      <c r="B44" s="5">
        <v>45513</v>
      </c>
      <c r="C44" s="4" t="s">
        <v>89</v>
      </c>
      <c r="D44" s="4" t="s">
        <v>90</v>
      </c>
      <c r="E44" s="4" t="s">
        <v>117</v>
      </c>
      <c r="F44" s="4" t="s">
        <v>118</v>
      </c>
      <c r="G44" s="4" t="s">
        <v>19</v>
      </c>
      <c r="H44" s="8">
        <v>1</v>
      </c>
      <c r="I44" s="33">
        <v>89.99</v>
      </c>
      <c r="J44" s="4" t="s">
        <v>26</v>
      </c>
      <c r="K44" s="4" t="s">
        <v>40</v>
      </c>
      <c r="L44" s="4" t="s">
        <v>36</v>
      </c>
      <c r="M44" s="5">
        <v>45393</v>
      </c>
      <c r="N44" s="33">
        <v>89.99</v>
      </c>
    </row>
    <row r="45" spans="1:14" ht="14.5">
      <c r="A45" s="4" t="s">
        <v>262</v>
      </c>
      <c r="B45" s="5">
        <v>45572</v>
      </c>
      <c r="C45" s="4" t="s">
        <v>89</v>
      </c>
      <c r="D45" s="4" t="s">
        <v>90</v>
      </c>
      <c r="E45" s="4" t="s">
        <v>31</v>
      </c>
      <c r="F45" s="4" t="s">
        <v>32</v>
      </c>
      <c r="G45" s="4" t="s">
        <v>33</v>
      </c>
      <c r="H45" s="8">
        <v>2</v>
      </c>
      <c r="I45" s="33">
        <v>59.99</v>
      </c>
      <c r="J45" s="4" t="s">
        <v>26</v>
      </c>
      <c r="K45" s="4" t="s">
        <v>21</v>
      </c>
      <c r="L45" s="4" t="s">
        <v>22</v>
      </c>
      <c r="M45" s="5">
        <v>44579</v>
      </c>
      <c r="N45" s="33">
        <v>119.98</v>
      </c>
    </row>
    <row r="46" spans="1:14" ht="14.5">
      <c r="A46" s="4" t="s">
        <v>280</v>
      </c>
      <c r="B46" s="5">
        <v>45604</v>
      </c>
      <c r="C46" s="4" t="s">
        <v>89</v>
      </c>
      <c r="D46" s="4" t="s">
        <v>90</v>
      </c>
      <c r="E46" s="4" t="s">
        <v>44</v>
      </c>
      <c r="F46" s="4" t="s">
        <v>45</v>
      </c>
      <c r="G46" s="4" t="s">
        <v>46</v>
      </c>
      <c r="H46" s="8">
        <v>2</v>
      </c>
      <c r="I46" s="33">
        <v>149.99</v>
      </c>
      <c r="J46" s="4" t="s">
        <v>26</v>
      </c>
      <c r="K46" s="4" t="s">
        <v>50</v>
      </c>
      <c r="L46" s="4" t="s">
        <v>27</v>
      </c>
      <c r="M46" s="5">
        <v>44848</v>
      </c>
      <c r="N46" s="33">
        <v>299.98</v>
      </c>
    </row>
    <row r="47" spans="1:14" ht="14.5">
      <c r="A47" s="4" t="s">
        <v>251</v>
      </c>
      <c r="B47" s="5">
        <v>45554</v>
      </c>
      <c r="C47" s="4" t="s">
        <v>252</v>
      </c>
      <c r="D47" s="4" t="s">
        <v>253</v>
      </c>
      <c r="E47" s="4" t="s">
        <v>52</v>
      </c>
      <c r="F47" s="4" t="s">
        <v>53</v>
      </c>
      <c r="G47" s="4" t="s">
        <v>19</v>
      </c>
      <c r="H47" s="8">
        <v>1</v>
      </c>
      <c r="I47" s="33">
        <v>149.99</v>
      </c>
      <c r="J47" s="4" t="s">
        <v>34</v>
      </c>
      <c r="K47" s="4" t="s">
        <v>63</v>
      </c>
      <c r="L47" s="4" t="s">
        <v>36</v>
      </c>
      <c r="M47" s="5">
        <v>44482</v>
      </c>
      <c r="N47" s="33">
        <v>149.99</v>
      </c>
    </row>
    <row r="48" spans="1:14" ht="14.5">
      <c r="A48" s="4" t="s">
        <v>300</v>
      </c>
      <c r="B48" s="5">
        <v>45629</v>
      </c>
      <c r="C48" s="4" t="s">
        <v>252</v>
      </c>
      <c r="D48" s="4" t="s">
        <v>253</v>
      </c>
      <c r="E48" s="4" t="s">
        <v>17</v>
      </c>
      <c r="F48" s="4" t="s">
        <v>18</v>
      </c>
      <c r="G48" s="4" t="s">
        <v>19</v>
      </c>
      <c r="H48" s="8">
        <v>4</v>
      </c>
      <c r="I48" s="33">
        <v>249.99</v>
      </c>
      <c r="J48" s="4" t="s">
        <v>34</v>
      </c>
      <c r="K48" s="4" t="s">
        <v>63</v>
      </c>
      <c r="L48" s="4" t="s">
        <v>27</v>
      </c>
      <c r="M48" s="5">
        <v>45098</v>
      </c>
      <c r="N48" s="33">
        <v>999.96</v>
      </c>
    </row>
    <row r="49" spans="1:14" ht="14.5">
      <c r="A49" s="4" t="s">
        <v>345</v>
      </c>
      <c r="B49" s="5">
        <v>45686</v>
      </c>
      <c r="C49" s="4" t="s">
        <v>252</v>
      </c>
      <c r="D49" s="4" t="s">
        <v>253</v>
      </c>
      <c r="E49" s="4" t="s">
        <v>61</v>
      </c>
      <c r="F49" s="4" t="s">
        <v>62</v>
      </c>
      <c r="G49" s="4" t="s">
        <v>19</v>
      </c>
      <c r="H49" s="8">
        <v>4</v>
      </c>
      <c r="I49" s="33">
        <v>899.99</v>
      </c>
      <c r="J49" s="4" t="s">
        <v>34</v>
      </c>
      <c r="K49" s="4" t="s">
        <v>21</v>
      </c>
      <c r="L49" s="4" t="s">
        <v>22</v>
      </c>
      <c r="M49" s="5">
        <v>44734</v>
      </c>
      <c r="N49" s="33">
        <v>3599.96</v>
      </c>
    </row>
    <row r="50" spans="1:14" ht="14.5">
      <c r="A50" s="4" t="s">
        <v>98</v>
      </c>
      <c r="B50" s="5">
        <v>45413</v>
      </c>
      <c r="C50" s="4" t="s">
        <v>99</v>
      </c>
      <c r="D50" s="4" t="s">
        <v>100</v>
      </c>
      <c r="E50" s="4" t="s">
        <v>80</v>
      </c>
      <c r="F50" s="4" t="s">
        <v>81</v>
      </c>
      <c r="G50" s="4" t="s">
        <v>19</v>
      </c>
      <c r="H50" s="8">
        <v>4</v>
      </c>
      <c r="I50" s="33">
        <v>699.99</v>
      </c>
      <c r="J50" s="4" t="s">
        <v>20</v>
      </c>
      <c r="K50" s="4" t="s">
        <v>63</v>
      </c>
      <c r="L50" s="4" t="s">
        <v>36</v>
      </c>
      <c r="M50" s="5">
        <v>44409</v>
      </c>
      <c r="N50" s="33">
        <v>2799.96</v>
      </c>
    </row>
    <row r="51" spans="1:14" ht="14.5">
      <c r="A51" s="4" t="s">
        <v>116</v>
      </c>
      <c r="B51" s="5">
        <v>45424</v>
      </c>
      <c r="C51" s="4" t="s">
        <v>99</v>
      </c>
      <c r="D51" s="4" t="s">
        <v>100</v>
      </c>
      <c r="E51" s="4" t="s">
        <v>117</v>
      </c>
      <c r="F51" s="4" t="s">
        <v>118</v>
      </c>
      <c r="G51" s="4" t="s">
        <v>19</v>
      </c>
      <c r="H51" s="8">
        <v>5</v>
      </c>
      <c r="I51" s="33">
        <v>89.99</v>
      </c>
      <c r="J51" s="4" t="s">
        <v>20</v>
      </c>
      <c r="K51" s="4" t="s">
        <v>40</v>
      </c>
      <c r="L51" s="4" t="s">
        <v>27</v>
      </c>
      <c r="M51" s="5">
        <v>44919</v>
      </c>
      <c r="N51" s="33">
        <v>449.95</v>
      </c>
    </row>
    <row r="52" spans="1:14" ht="14.5">
      <c r="A52" s="4" t="s">
        <v>135</v>
      </c>
      <c r="B52" s="5">
        <v>45434</v>
      </c>
      <c r="C52" s="4" t="s">
        <v>99</v>
      </c>
      <c r="D52" s="4" t="s">
        <v>100</v>
      </c>
      <c r="E52" s="4" t="s">
        <v>105</v>
      </c>
      <c r="F52" s="4" t="s">
        <v>106</v>
      </c>
      <c r="G52" s="4" t="s">
        <v>46</v>
      </c>
      <c r="H52" s="8">
        <v>3</v>
      </c>
      <c r="I52" s="33">
        <v>299.99</v>
      </c>
      <c r="J52" s="4" t="s">
        <v>26</v>
      </c>
      <c r="K52" s="4" t="s">
        <v>63</v>
      </c>
      <c r="L52" s="4" t="s">
        <v>22</v>
      </c>
      <c r="M52" s="5">
        <v>44824</v>
      </c>
      <c r="N52" s="33">
        <v>899.97</v>
      </c>
    </row>
    <row r="53" spans="1:14" ht="14.5">
      <c r="A53" s="4" t="s">
        <v>165</v>
      </c>
      <c r="B53" s="5">
        <v>45459</v>
      </c>
      <c r="C53" s="4" t="s">
        <v>99</v>
      </c>
      <c r="D53" s="4" t="s">
        <v>100</v>
      </c>
      <c r="E53" s="4" t="s">
        <v>117</v>
      </c>
      <c r="F53" s="4" t="s">
        <v>118</v>
      </c>
      <c r="G53" s="4" t="s">
        <v>19</v>
      </c>
      <c r="H53" s="8">
        <v>2</v>
      </c>
      <c r="I53" s="33">
        <v>89.99</v>
      </c>
      <c r="J53" s="4" t="s">
        <v>26</v>
      </c>
      <c r="K53" s="4" t="s">
        <v>35</v>
      </c>
      <c r="L53" s="4" t="s">
        <v>27</v>
      </c>
      <c r="M53" s="5">
        <v>44471</v>
      </c>
      <c r="N53" s="33">
        <v>179.98</v>
      </c>
    </row>
    <row r="54" spans="1:14" ht="14.5">
      <c r="A54" s="4" t="s">
        <v>176</v>
      </c>
      <c r="B54" s="5">
        <v>45471</v>
      </c>
      <c r="C54" s="4" t="s">
        <v>99</v>
      </c>
      <c r="D54" s="4" t="s">
        <v>100</v>
      </c>
      <c r="E54" s="4" t="s">
        <v>61</v>
      </c>
      <c r="F54" s="4" t="s">
        <v>62</v>
      </c>
      <c r="G54" s="4" t="s">
        <v>19</v>
      </c>
      <c r="H54" s="8">
        <v>4</v>
      </c>
      <c r="I54" s="33">
        <v>899.99</v>
      </c>
      <c r="J54" s="4" t="s">
        <v>26</v>
      </c>
      <c r="K54" s="4" t="s">
        <v>63</v>
      </c>
      <c r="L54" s="4" t="s">
        <v>27</v>
      </c>
      <c r="M54" s="5">
        <v>44993</v>
      </c>
      <c r="N54" s="33">
        <v>3599.96</v>
      </c>
    </row>
    <row r="55" spans="1:14" ht="14.5">
      <c r="A55" s="4" t="s">
        <v>257</v>
      </c>
      <c r="B55" s="5">
        <v>45563</v>
      </c>
      <c r="C55" s="4" t="s">
        <v>99</v>
      </c>
      <c r="D55" s="4" t="s">
        <v>100</v>
      </c>
      <c r="E55" s="4" t="s">
        <v>105</v>
      </c>
      <c r="F55" s="4" t="s">
        <v>106</v>
      </c>
      <c r="G55" s="4" t="s">
        <v>46</v>
      </c>
      <c r="H55" s="8">
        <v>2</v>
      </c>
      <c r="I55" s="33">
        <v>299.99</v>
      </c>
      <c r="J55" s="4" t="s">
        <v>57</v>
      </c>
      <c r="K55" s="4" t="s">
        <v>21</v>
      </c>
      <c r="L55" s="4" t="s">
        <v>22</v>
      </c>
      <c r="M55" s="5">
        <v>44569</v>
      </c>
      <c r="N55" s="33">
        <v>599.98</v>
      </c>
    </row>
    <row r="56" spans="1:14" ht="14.5">
      <c r="A56" s="4" t="s">
        <v>279</v>
      </c>
      <c r="B56" s="5">
        <v>45603</v>
      </c>
      <c r="C56" s="4" t="s">
        <v>99</v>
      </c>
      <c r="D56" s="4" t="s">
        <v>100</v>
      </c>
      <c r="E56" s="4" t="s">
        <v>117</v>
      </c>
      <c r="F56" s="4" t="s">
        <v>118</v>
      </c>
      <c r="G56" s="4" t="s">
        <v>19</v>
      </c>
      <c r="H56" s="8">
        <v>3</v>
      </c>
      <c r="I56" s="33">
        <v>89.99</v>
      </c>
      <c r="J56" s="4" t="s">
        <v>26</v>
      </c>
      <c r="K56" s="4" t="s">
        <v>40</v>
      </c>
      <c r="L56" s="4" t="s">
        <v>27</v>
      </c>
      <c r="M56" s="5">
        <v>44420</v>
      </c>
      <c r="N56" s="33">
        <v>269.97000000000003</v>
      </c>
    </row>
    <row r="57" spans="1:14" ht="14.5">
      <c r="A57" s="4" t="s">
        <v>284</v>
      </c>
      <c r="B57" s="5">
        <v>45607</v>
      </c>
      <c r="C57" s="4" t="s">
        <v>99</v>
      </c>
      <c r="D57" s="4" t="s">
        <v>100</v>
      </c>
      <c r="E57" s="4" t="s">
        <v>17</v>
      </c>
      <c r="F57" s="4" t="s">
        <v>18</v>
      </c>
      <c r="G57" s="4" t="s">
        <v>19</v>
      </c>
      <c r="H57" s="8">
        <v>4</v>
      </c>
      <c r="I57" s="33">
        <v>249.99</v>
      </c>
      <c r="J57" s="4" t="s">
        <v>26</v>
      </c>
      <c r="K57" s="4" t="s">
        <v>50</v>
      </c>
      <c r="L57" s="4" t="s">
        <v>36</v>
      </c>
      <c r="M57" s="5">
        <v>44659</v>
      </c>
      <c r="N57" s="33">
        <v>999.96</v>
      </c>
    </row>
    <row r="58" spans="1:14" ht="14.5">
      <c r="A58" s="4" t="s">
        <v>23</v>
      </c>
      <c r="B58" s="5">
        <v>45396</v>
      </c>
      <c r="C58" s="4" t="s">
        <v>24</v>
      </c>
      <c r="D58" s="4" t="s">
        <v>25</v>
      </c>
      <c r="E58" s="4" t="s">
        <v>17</v>
      </c>
      <c r="F58" s="4" t="s">
        <v>18</v>
      </c>
      <c r="G58" s="4" t="s">
        <v>19</v>
      </c>
      <c r="H58" s="8">
        <v>3</v>
      </c>
      <c r="I58" s="33">
        <v>249.99</v>
      </c>
      <c r="J58" s="4" t="s">
        <v>26</v>
      </c>
      <c r="K58" s="4" t="s">
        <v>21</v>
      </c>
      <c r="L58" s="4" t="s">
        <v>27</v>
      </c>
      <c r="M58" s="5">
        <v>44575</v>
      </c>
      <c r="N58" s="33">
        <v>749.97</v>
      </c>
    </row>
    <row r="59" spans="1:14" ht="14.5">
      <c r="A59" s="4" t="s">
        <v>156</v>
      </c>
      <c r="B59" s="5">
        <v>45449</v>
      </c>
      <c r="C59" s="4" t="s">
        <v>24</v>
      </c>
      <c r="D59" s="4" t="s">
        <v>25</v>
      </c>
      <c r="E59" s="4" t="s">
        <v>17</v>
      </c>
      <c r="F59" s="4" t="s">
        <v>18</v>
      </c>
      <c r="G59" s="4" t="s">
        <v>19</v>
      </c>
      <c r="H59" s="8">
        <v>5</v>
      </c>
      <c r="I59" s="33">
        <v>249.99</v>
      </c>
      <c r="J59" s="4" t="s">
        <v>26</v>
      </c>
      <c r="K59" s="4" t="s">
        <v>63</v>
      </c>
      <c r="L59" s="4" t="s">
        <v>36</v>
      </c>
      <c r="M59" s="5">
        <v>44707</v>
      </c>
      <c r="N59" s="33">
        <v>1249.95</v>
      </c>
    </row>
    <row r="60" spans="1:14" ht="14.5">
      <c r="A60" s="4" t="s">
        <v>190</v>
      </c>
      <c r="B60" s="5">
        <v>45484</v>
      </c>
      <c r="C60" s="4" t="s">
        <v>24</v>
      </c>
      <c r="D60" s="4" t="s">
        <v>25</v>
      </c>
      <c r="E60" s="4" t="s">
        <v>52</v>
      </c>
      <c r="F60" s="4" t="s">
        <v>53</v>
      </c>
      <c r="G60" s="4" t="s">
        <v>19</v>
      </c>
      <c r="H60" s="8">
        <v>1</v>
      </c>
      <c r="I60" s="33">
        <v>149.99</v>
      </c>
      <c r="J60" s="4" t="s">
        <v>20</v>
      </c>
      <c r="K60" s="4" t="s">
        <v>21</v>
      </c>
      <c r="L60" s="4" t="s">
        <v>36</v>
      </c>
      <c r="M60" s="5">
        <v>44909</v>
      </c>
      <c r="N60" s="33">
        <v>149.99</v>
      </c>
    </row>
    <row r="61" spans="1:14" ht="14.5">
      <c r="A61" s="4" t="s">
        <v>201</v>
      </c>
      <c r="B61" s="5">
        <v>45497</v>
      </c>
      <c r="C61" s="4" t="s">
        <v>24</v>
      </c>
      <c r="D61" s="4" t="s">
        <v>25</v>
      </c>
      <c r="E61" s="4" t="s">
        <v>61</v>
      </c>
      <c r="F61" s="4" t="s">
        <v>62</v>
      </c>
      <c r="G61" s="4" t="s">
        <v>19</v>
      </c>
      <c r="H61" s="8">
        <v>5</v>
      </c>
      <c r="I61" s="33">
        <v>899.99</v>
      </c>
      <c r="J61" s="4" t="s">
        <v>57</v>
      </c>
      <c r="K61" s="4" t="s">
        <v>35</v>
      </c>
      <c r="L61" s="4" t="s">
        <v>36</v>
      </c>
      <c r="M61" s="5">
        <v>44899</v>
      </c>
      <c r="N61" s="33">
        <v>4499.95</v>
      </c>
    </row>
    <row r="62" spans="1:14" ht="14.5">
      <c r="A62" s="4" t="s">
        <v>298</v>
      </c>
      <c r="B62" s="5">
        <v>45627</v>
      </c>
      <c r="C62" s="4" t="s">
        <v>24</v>
      </c>
      <c r="D62" s="4" t="s">
        <v>25</v>
      </c>
      <c r="E62" s="4" t="s">
        <v>52</v>
      </c>
      <c r="F62" s="4" t="s">
        <v>53</v>
      </c>
      <c r="G62" s="4" t="s">
        <v>19</v>
      </c>
      <c r="H62" s="8">
        <v>2</v>
      </c>
      <c r="I62" s="33">
        <v>149.99</v>
      </c>
      <c r="J62" s="4" t="s">
        <v>20</v>
      </c>
      <c r="K62" s="4" t="s">
        <v>35</v>
      </c>
      <c r="L62" s="4" t="s">
        <v>27</v>
      </c>
      <c r="M62" s="5">
        <v>44475</v>
      </c>
      <c r="N62" s="33">
        <v>299.98</v>
      </c>
    </row>
    <row r="63" spans="1:14" ht="14.5">
      <c r="A63" s="4" t="s">
        <v>111</v>
      </c>
      <c r="B63" s="5">
        <v>45424</v>
      </c>
      <c r="C63" s="4" t="s">
        <v>112</v>
      </c>
      <c r="D63" s="4" t="s">
        <v>113</v>
      </c>
      <c r="E63" s="4" t="s">
        <v>114</v>
      </c>
      <c r="F63" s="4" t="s">
        <v>115</v>
      </c>
      <c r="G63" s="4" t="s">
        <v>33</v>
      </c>
      <c r="H63" s="8">
        <v>3</v>
      </c>
      <c r="I63" s="33">
        <v>79.989999999999995</v>
      </c>
      <c r="J63" s="4" t="s">
        <v>34</v>
      </c>
      <c r="K63" s="4" t="s">
        <v>63</v>
      </c>
      <c r="L63" s="4" t="s">
        <v>27</v>
      </c>
      <c r="M63" s="5">
        <v>45012</v>
      </c>
      <c r="N63" s="33">
        <v>239.97</v>
      </c>
    </row>
    <row r="64" spans="1:14" ht="14.5">
      <c r="A64" s="4" t="s">
        <v>256</v>
      </c>
      <c r="B64" s="5">
        <v>45560</v>
      </c>
      <c r="C64" s="4" t="s">
        <v>112</v>
      </c>
      <c r="D64" s="4" t="s">
        <v>113</v>
      </c>
      <c r="E64" s="4" t="s">
        <v>44</v>
      </c>
      <c r="F64" s="4" t="s">
        <v>45</v>
      </c>
      <c r="G64" s="4" t="s">
        <v>46</v>
      </c>
      <c r="H64" s="8">
        <v>3</v>
      </c>
      <c r="I64" s="33">
        <v>149.99</v>
      </c>
      <c r="J64" s="4" t="s">
        <v>34</v>
      </c>
      <c r="K64" s="4" t="s">
        <v>63</v>
      </c>
      <c r="L64" s="4" t="s">
        <v>22</v>
      </c>
      <c r="M64" s="5">
        <v>44886</v>
      </c>
      <c r="N64" s="33">
        <v>449.97</v>
      </c>
    </row>
    <row r="65" spans="1:14" ht="14.5">
      <c r="A65" s="4" t="s">
        <v>295</v>
      </c>
      <c r="B65" s="5">
        <v>45623</v>
      </c>
      <c r="C65" s="4" t="s">
        <v>112</v>
      </c>
      <c r="D65" s="4" t="s">
        <v>113</v>
      </c>
      <c r="E65" s="4" t="s">
        <v>44</v>
      </c>
      <c r="F65" s="4" t="s">
        <v>45</v>
      </c>
      <c r="G65" s="4" t="s">
        <v>46</v>
      </c>
      <c r="H65" s="8">
        <v>2</v>
      </c>
      <c r="I65" s="33">
        <v>149.99</v>
      </c>
      <c r="J65" s="4" t="s">
        <v>20</v>
      </c>
      <c r="K65" s="4" t="s">
        <v>35</v>
      </c>
      <c r="L65" s="4" t="s">
        <v>36</v>
      </c>
      <c r="M65" s="5">
        <v>45101</v>
      </c>
      <c r="N65" s="33">
        <v>299.98</v>
      </c>
    </row>
    <row r="66" spans="1:14" ht="14.5">
      <c r="A66" s="4" t="s">
        <v>315</v>
      </c>
      <c r="B66" s="5">
        <v>45648</v>
      </c>
      <c r="C66" s="4" t="s">
        <v>112</v>
      </c>
      <c r="D66" s="4" t="s">
        <v>113</v>
      </c>
      <c r="E66" s="4" t="s">
        <v>52</v>
      </c>
      <c r="F66" s="4" t="s">
        <v>53</v>
      </c>
      <c r="G66" s="4" t="s">
        <v>19</v>
      </c>
      <c r="H66" s="8">
        <v>2</v>
      </c>
      <c r="I66" s="33">
        <v>149.99</v>
      </c>
      <c r="J66" s="4" t="s">
        <v>57</v>
      </c>
      <c r="K66" s="4" t="s">
        <v>50</v>
      </c>
      <c r="L66" s="4" t="s">
        <v>27</v>
      </c>
      <c r="M66" s="5">
        <v>45280</v>
      </c>
      <c r="N66" s="33">
        <v>299.98</v>
      </c>
    </row>
    <row r="67" spans="1:14" ht="14.5">
      <c r="A67" s="4" t="s">
        <v>258</v>
      </c>
      <c r="B67" s="5">
        <v>45564</v>
      </c>
      <c r="C67" s="4" t="s">
        <v>259</v>
      </c>
      <c r="D67" s="4" t="s">
        <v>260</v>
      </c>
      <c r="E67" s="4" t="s">
        <v>126</v>
      </c>
      <c r="F67" s="4" t="s">
        <v>127</v>
      </c>
      <c r="G67" s="4" t="s">
        <v>46</v>
      </c>
      <c r="H67" s="8">
        <v>1</v>
      </c>
      <c r="I67" s="33">
        <v>199.99</v>
      </c>
      <c r="J67" s="4" t="s">
        <v>57</v>
      </c>
      <c r="K67" s="4" t="s">
        <v>63</v>
      </c>
      <c r="L67" s="4" t="s">
        <v>36</v>
      </c>
      <c r="M67" s="5">
        <v>44953</v>
      </c>
      <c r="N67" s="33">
        <v>199.99</v>
      </c>
    </row>
    <row r="68" spans="1:14" ht="14.5">
      <c r="A68" s="4" t="s">
        <v>358</v>
      </c>
      <c r="B68" s="5">
        <v>45705</v>
      </c>
      <c r="C68" s="4" t="s">
        <v>259</v>
      </c>
      <c r="D68" s="4" t="s">
        <v>260</v>
      </c>
      <c r="E68" s="4" t="s">
        <v>44</v>
      </c>
      <c r="F68" s="4" t="s">
        <v>45</v>
      </c>
      <c r="G68" s="4" t="s">
        <v>46</v>
      </c>
      <c r="H68" s="8">
        <v>2</v>
      </c>
      <c r="I68" s="33">
        <v>149.99</v>
      </c>
      <c r="J68" s="4" t="s">
        <v>20</v>
      </c>
      <c r="K68" s="4" t="s">
        <v>35</v>
      </c>
      <c r="L68" s="4" t="s">
        <v>27</v>
      </c>
      <c r="M68" s="5">
        <v>44728</v>
      </c>
      <c r="N68" s="33">
        <v>299.98</v>
      </c>
    </row>
    <row r="69" spans="1:14" ht="14.5">
      <c r="A69" s="4" t="s">
        <v>369</v>
      </c>
      <c r="B69" s="5">
        <v>45715</v>
      </c>
      <c r="C69" s="4" t="s">
        <v>259</v>
      </c>
      <c r="D69" s="4" t="s">
        <v>260</v>
      </c>
      <c r="E69" s="4" t="s">
        <v>31</v>
      </c>
      <c r="F69" s="4" t="s">
        <v>32</v>
      </c>
      <c r="G69" s="4" t="s">
        <v>33</v>
      </c>
      <c r="H69" s="8">
        <v>4</v>
      </c>
      <c r="I69" s="33">
        <v>59.99</v>
      </c>
      <c r="J69" s="4" t="s">
        <v>20</v>
      </c>
      <c r="K69" s="4" t="s">
        <v>50</v>
      </c>
      <c r="L69" s="4" t="s">
        <v>36</v>
      </c>
      <c r="M69" s="5">
        <v>45070</v>
      </c>
      <c r="N69" s="33">
        <v>239.96</v>
      </c>
    </row>
    <row r="70" spans="1:14" ht="14.5">
      <c r="A70" s="4" t="s">
        <v>210</v>
      </c>
      <c r="B70" s="5">
        <v>45509</v>
      </c>
      <c r="C70" s="4" t="s">
        <v>211</v>
      </c>
      <c r="D70" s="4" t="s">
        <v>212</v>
      </c>
      <c r="E70" s="4" t="s">
        <v>44</v>
      </c>
      <c r="F70" s="4" t="s">
        <v>45</v>
      </c>
      <c r="G70" s="4" t="s">
        <v>46</v>
      </c>
      <c r="H70" s="8">
        <v>2</v>
      </c>
      <c r="I70" s="33">
        <v>149.99</v>
      </c>
      <c r="J70" s="4" t="s">
        <v>26</v>
      </c>
      <c r="K70" s="4" t="s">
        <v>50</v>
      </c>
      <c r="L70" s="4" t="s">
        <v>22</v>
      </c>
      <c r="M70" s="5">
        <v>44542</v>
      </c>
      <c r="N70" s="33">
        <v>299.98</v>
      </c>
    </row>
    <row r="71" spans="1:14" ht="14.5">
      <c r="A71" s="4" t="s">
        <v>264</v>
      </c>
      <c r="B71" s="5">
        <v>45573</v>
      </c>
      <c r="C71" s="4" t="s">
        <v>211</v>
      </c>
      <c r="D71" s="4" t="s">
        <v>212</v>
      </c>
      <c r="E71" s="4" t="s">
        <v>80</v>
      </c>
      <c r="F71" s="4" t="s">
        <v>81</v>
      </c>
      <c r="G71" s="4" t="s">
        <v>19</v>
      </c>
      <c r="H71" s="8">
        <v>2</v>
      </c>
      <c r="I71" s="33">
        <v>699.99</v>
      </c>
      <c r="J71" s="4" t="s">
        <v>57</v>
      </c>
      <c r="K71" s="4" t="s">
        <v>63</v>
      </c>
      <c r="L71" s="4" t="s">
        <v>27</v>
      </c>
      <c r="M71" s="5">
        <v>45274</v>
      </c>
      <c r="N71" s="33">
        <v>1399.98</v>
      </c>
    </row>
    <row r="72" spans="1:14" ht="14.5">
      <c r="A72" s="4" t="s">
        <v>340</v>
      </c>
      <c r="B72" s="5">
        <v>45673</v>
      </c>
      <c r="C72" s="4" t="s">
        <v>211</v>
      </c>
      <c r="D72" s="4" t="s">
        <v>212</v>
      </c>
      <c r="E72" s="4" t="s">
        <v>105</v>
      </c>
      <c r="F72" s="4" t="s">
        <v>106</v>
      </c>
      <c r="G72" s="4" t="s">
        <v>46</v>
      </c>
      <c r="H72" s="8">
        <v>5</v>
      </c>
      <c r="I72" s="33">
        <v>299.99</v>
      </c>
      <c r="J72" s="4" t="s">
        <v>57</v>
      </c>
      <c r="K72" s="4" t="s">
        <v>21</v>
      </c>
      <c r="L72" s="4" t="s">
        <v>22</v>
      </c>
      <c r="M72" s="5">
        <v>44431</v>
      </c>
      <c r="N72" s="33">
        <v>1499.95</v>
      </c>
    </row>
    <row r="73" spans="1:14" ht="14.5">
      <c r="A73" s="4" t="s">
        <v>367</v>
      </c>
      <c r="B73" s="5">
        <v>45711</v>
      </c>
      <c r="C73" s="4" t="s">
        <v>211</v>
      </c>
      <c r="D73" s="4" t="s">
        <v>212</v>
      </c>
      <c r="E73" s="4" t="s">
        <v>117</v>
      </c>
      <c r="F73" s="4" t="s">
        <v>118</v>
      </c>
      <c r="G73" s="4" t="s">
        <v>19</v>
      </c>
      <c r="H73" s="8">
        <v>5</v>
      </c>
      <c r="I73" s="33">
        <v>89.99</v>
      </c>
      <c r="J73" s="4" t="s">
        <v>34</v>
      </c>
      <c r="K73" s="4" t="s">
        <v>50</v>
      </c>
      <c r="L73" s="4" t="s">
        <v>27</v>
      </c>
      <c r="M73" s="5">
        <v>45140</v>
      </c>
      <c r="N73" s="33">
        <v>449.95</v>
      </c>
    </row>
    <row r="74" spans="1:14" ht="14.5">
      <c r="A74" s="4" t="s">
        <v>54</v>
      </c>
      <c r="B74" s="5">
        <v>45403</v>
      </c>
      <c r="C74" s="4" t="s">
        <v>55</v>
      </c>
      <c r="D74" s="4" t="s">
        <v>56</v>
      </c>
      <c r="E74" s="4" t="s">
        <v>31</v>
      </c>
      <c r="F74" s="4" t="s">
        <v>32</v>
      </c>
      <c r="G74" s="4" t="s">
        <v>33</v>
      </c>
      <c r="H74" s="8">
        <v>3</v>
      </c>
      <c r="I74" s="33">
        <v>59.99</v>
      </c>
      <c r="J74" s="4" t="s">
        <v>57</v>
      </c>
      <c r="K74" s="4" t="s">
        <v>35</v>
      </c>
      <c r="L74" s="4" t="s">
        <v>22</v>
      </c>
      <c r="M74" s="5">
        <v>45007</v>
      </c>
      <c r="N74" s="33">
        <v>179.97</v>
      </c>
    </row>
    <row r="75" spans="1:14" ht="14.5">
      <c r="A75" s="4" t="s">
        <v>125</v>
      </c>
      <c r="B75" s="5">
        <v>45427</v>
      </c>
      <c r="C75" s="4" t="s">
        <v>55</v>
      </c>
      <c r="D75" s="4" t="s">
        <v>56</v>
      </c>
      <c r="E75" s="4" t="s">
        <v>126</v>
      </c>
      <c r="F75" s="4" t="s">
        <v>127</v>
      </c>
      <c r="G75" s="4" t="s">
        <v>46</v>
      </c>
      <c r="H75" s="8">
        <v>5</v>
      </c>
      <c r="I75" s="33">
        <v>199.99</v>
      </c>
      <c r="J75" s="4" t="s">
        <v>20</v>
      </c>
      <c r="K75" s="4" t="s">
        <v>35</v>
      </c>
      <c r="L75" s="4" t="s">
        <v>36</v>
      </c>
      <c r="M75" s="5">
        <v>44412</v>
      </c>
      <c r="N75" s="33">
        <v>999.95</v>
      </c>
    </row>
    <row r="76" spans="1:14" ht="14.5">
      <c r="A76" s="4" t="s">
        <v>152</v>
      </c>
      <c r="B76" s="5">
        <v>45444</v>
      </c>
      <c r="C76" s="4" t="s">
        <v>55</v>
      </c>
      <c r="D76" s="4" t="s">
        <v>56</v>
      </c>
      <c r="E76" s="4" t="s">
        <v>117</v>
      </c>
      <c r="F76" s="4" t="s">
        <v>118</v>
      </c>
      <c r="G76" s="4" t="s">
        <v>19</v>
      </c>
      <c r="H76" s="8">
        <v>1</v>
      </c>
      <c r="I76" s="33">
        <v>89.99</v>
      </c>
      <c r="J76" s="4" t="s">
        <v>20</v>
      </c>
      <c r="K76" s="4" t="s">
        <v>40</v>
      </c>
      <c r="L76" s="4" t="s">
        <v>22</v>
      </c>
      <c r="M76" s="5">
        <v>45141</v>
      </c>
      <c r="N76" s="33">
        <v>89.99</v>
      </c>
    </row>
    <row r="77" spans="1:14" ht="14.5">
      <c r="A77" s="4" t="s">
        <v>179</v>
      </c>
      <c r="B77" s="5">
        <v>45475</v>
      </c>
      <c r="C77" s="4" t="s">
        <v>55</v>
      </c>
      <c r="D77" s="4" t="s">
        <v>56</v>
      </c>
      <c r="E77" s="4" t="s">
        <v>117</v>
      </c>
      <c r="F77" s="4" t="s">
        <v>118</v>
      </c>
      <c r="G77" s="4" t="s">
        <v>19</v>
      </c>
      <c r="H77" s="8">
        <v>1</v>
      </c>
      <c r="I77" s="33">
        <v>89.99</v>
      </c>
      <c r="J77" s="4" t="s">
        <v>34</v>
      </c>
      <c r="K77" s="4" t="s">
        <v>50</v>
      </c>
      <c r="L77" s="4" t="s">
        <v>36</v>
      </c>
      <c r="M77" s="5">
        <v>44802</v>
      </c>
      <c r="N77" s="33">
        <v>89.99</v>
      </c>
    </row>
    <row r="78" spans="1:14" ht="14.5">
      <c r="A78" s="4" t="s">
        <v>242</v>
      </c>
      <c r="B78" s="5">
        <v>45545</v>
      </c>
      <c r="C78" s="4" t="s">
        <v>55</v>
      </c>
      <c r="D78" s="4" t="s">
        <v>56</v>
      </c>
      <c r="E78" s="4" t="s">
        <v>114</v>
      </c>
      <c r="F78" s="4" t="s">
        <v>115</v>
      </c>
      <c r="G78" s="4" t="s">
        <v>33</v>
      </c>
      <c r="H78" s="8">
        <v>1</v>
      </c>
      <c r="I78" s="33">
        <v>79.989999999999995</v>
      </c>
      <c r="J78" s="4" t="s">
        <v>20</v>
      </c>
      <c r="K78" s="4" t="s">
        <v>50</v>
      </c>
      <c r="L78" s="4" t="s">
        <v>22</v>
      </c>
      <c r="M78" s="5">
        <v>44693</v>
      </c>
      <c r="N78" s="33">
        <v>79.989999999999995</v>
      </c>
    </row>
    <row r="79" spans="1:14" ht="14.5">
      <c r="A79" s="4" t="s">
        <v>297</v>
      </c>
      <c r="B79" s="5">
        <v>45627</v>
      </c>
      <c r="C79" s="4" t="s">
        <v>55</v>
      </c>
      <c r="D79" s="4" t="s">
        <v>56</v>
      </c>
      <c r="E79" s="4" t="s">
        <v>17</v>
      </c>
      <c r="F79" s="4" t="s">
        <v>18</v>
      </c>
      <c r="G79" s="4" t="s">
        <v>19</v>
      </c>
      <c r="H79" s="8">
        <v>5</v>
      </c>
      <c r="I79" s="33">
        <v>249.99</v>
      </c>
      <c r="J79" s="4" t="s">
        <v>20</v>
      </c>
      <c r="K79" s="4" t="s">
        <v>21</v>
      </c>
      <c r="L79" s="4" t="s">
        <v>27</v>
      </c>
      <c r="M79" s="5">
        <v>44485</v>
      </c>
      <c r="N79" s="33">
        <v>1249.95</v>
      </c>
    </row>
    <row r="80" spans="1:14" ht="14.5">
      <c r="A80" s="4" t="s">
        <v>363</v>
      </c>
      <c r="B80" s="5">
        <v>45710</v>
      </c>
      <c r="C80" s="4" t="s">
        <v>55</v>
      </c>
      <c r="D80" s="4" t="s">
        <v>56</v>
      </c>
      <c r="E80" s="4" t="s">
        <v>105</v>
      </c>
      <c r="F80" s="4" t="s">
        <v>106</v>
      </c>
      <c r="G80" s="4" t="s">
        <v>46</v>
      </c>
      <c r="H80" s="8">
        <v>5</v>
      </c>
      <c r="I80" s="33">
        <v>299.99</v>
      </c>
      <c r="J80" s="4" t="s">
        <v>20</v>
      </c>
      <c r="K80" s="4" t="s">
        <v>50</v>
      </c>
      <c r="L80" s="4" t="s">
        <v>36</v>
      </c>
      <c r="M80" s="5">
        <v>45142</v>
      </c>
      <c r="N80" s="33">
        <v>1499.95</v>
      </c>
    </row>
    <row r="81" spans="1:14" ht="14.5">
      <c r="A81" s="4" t="s">
        <v>371</v>
      </c>
      <c r="B81" s="5">
        <v>45718</v>
      </c>
      <c r="C81" s="4" t="s">
        <v>55</v>
      </c>
      <c r="D81" s="4" t="s">
        <v>56</v>
      </c>
      <c r="E81" s="4" t="s">
        <v>44</v>
      </c>
      <c r="F81" s="4" t="s">
        <v>45</v>
      </c>
      <c r="G81" s="4" t="s">
        <v>46</v>
      </c>
      <c r="H81" s="8">
        <v>2</v>
      </c>
      <c r="I81" s="33">
        <v>149.99</v>
      </c>
      <c r="J81" s="4" t="s">
        <v>20</v>
      </c>
      <c r="K81" s="4" t="s">
        <v>21</v>
      </c>
      <c r="L81" s="4" t="s">
        <v>22</v>
      </c>
      <c r="M81" s="5">
        <v>45068</v>
      </c>
      <c r="N81" s="33">
        <v>299.98</v>
      </c>
    </row>
    <row r="82" spans="1:14" ht="14.5">
      <c r="A82" s="4" t="s">
        <v>378</v>
      </c>
      <c r="B82" s="5">
        <v>45724</v>
      </c>
      <c r="C82" s="4" t="s">
        <v>55</v>
      </c>
      <c r="D82" s="4" t="s">
        <v>56</v>
      </c>
      <c r="E82" s="4" t="s">
        <v>44</v>
      </c>
      <c r="F82" s="4" t="s">
        <v>45</v>
      </c>
      <c r="G82" s="4" t="s">
        <v>46</v>
      </c>
      <c r="H82" s="8">
        <v>4</v>
      </c>
      <c r="I82" s="33">
        <v>149.99</v>
      </c>
      <c r="J82" s="4" t="s">
        <v>20</v>
      </c>
      <c r="K82" s="4" t="s">
        <v>21</v>
      </c>
      <c r="L82" s="4" t="s">
        <v>36</v>
      </c>
      <c r="M82" s="5">
        <v>45263</v>
      </c>
      <c r="N82" s="33">
        <v>599.96</v>
      </c>
    </row>
    <row r="83" spans="1:14" ht="14.5">
      <c r="A83" s="4" t="s">
        <v>95</v>
      </c>
      <c r="B83" s="5">
        <v>45412</v>
      </c>
      <c r="C83" s="4" t="s">
        <v>96</v>
      </c>
      <c r="D83" s="4" t="s">
        <v>97</v>
      </c>
      <c r="E83" s="4" t="s">
        <v>80</v>
      </c>
      <c r="F83" s="4" t="s">
        <v>81</v>
      </c>
      <c r="G83" s="4" t="s">
        <v>19</v>
      </c>
      <c r="H83" s="8">
        <v>5</v>
      </c>
      <c r="I83" s="33">
        <v>699.99</v>
      </c>
      <c r="J83" s="4" t="s">
        <v>20</v>
      </c>
      <c r="K83" s="4" t="s">
        <v>50</v>
      </c>
      <c r="L83" s="4" t="s">
        <v>22</v>
      </c>
      <c r="M83" s="5">
        <v>45167</v>
      </c>
      <c r="N83" s="33">
        <v>3499.95</v>
      </c>
    </row>
    <row r="84" spans="1:14" ht="14.5">
      <c r="A84" s="4" t="s">
        <v>188</v>
      </c>
      <c r="B84" s="5">
        <v>45481</v>
      </c>
      <c r="C84" s="4" t="s">
        <v>96</v>
      </c>
      <c r="D84" s="4" t="s">
        <v>97</v>
      </c>
      <c r="E84" s="4" t="s">
        <v>117</v>
      </c>
      <c r="F84" s="4" t="s">
        <v>118</v>
      </c>
      <c r="G84" s="4" t="s">
        <v>19</v>
      </c>
      <c r="H84" s="8">
        <v>5</v>
      </c>
      <c r="I84" s="33">
        <v>89.99</v>
      </c>
      <c r="J84" s="4" t="s">
        <v>57</v>
      </c>
      <c r="K84" s="4" t="s">
        <v>40</v>
      </c>
      <c r="L84" s="4" t="s">
        <v>27</v>
      </c>
      <c r="M84" s="5">
        <v>45161</v>
      </c>
      <c r="N84" s="33">
        <v>449.95</v>
      </c>
    </row>
    <row r="85" spans="1:14" ht="14.5">
      <c r="A85" s="4" t="s">
        <v>204</v>
      </c>
      <c r="B85" s="5">
        <v>45500</v>
      </c>
      <c r="C85" s="4" t="s">
        <v>96</v>
      </c>
      <c r="D85" s="4" t="s">
        <v>97</v>
      </c>
      <c r="E85" s="4" t="s">
        <v>17</v>
      </c>
      <c r="F85" s="4" t="s">
        <v>18</v>
      </c>
      <c r="G85" s="4" t="s">
        <v>19</v>
      </c>
      <c r="H85" s="8">
        <v>2</v>
      </c>
      <c r="I85" s="33">
        <v>249.99</v>
      </c>
      <c r="J85" s="4" t="s">
        <v>20</v>
      </c>
      <c r="K85" s="4" t="s">
        <v>40</v>
      </c>
      <c r="L85" s="4" t="s">
        <v>27</v>
      </c>
      <c r="M85" s="5">
        <v>45164</v>
      </c>
      <c r="N85" s="33">
        <v>499.98</v>
      </c>
    </row>
    <row r="86" spans="1:14" ht="14.5">
      <c r="A86" s="4" t="s">
        <v>268</v>
      </c>
      <c r="B86" s="5">
        <v>45581</v>
      </c>
      <c r="C86" s="4" t="s">
        <v>96</v>
      </c>
      <c r="D86" s="4" t="s">
        <v>97</v>
      </c>
      <c r="E86" s="4" t="s">
        <v>80</v>
      </c>
      <c r="F86" s="4" t="s">
        <v>81</v>
      </c>
      <c r="G86" s="4" t="s">
        <v>19</v>
      </c>
      <c r="H86" s="8">
        <v>5</v>
      </c>
      <c r="I86" s="33">
        <v>699.99</v>
      </c>
      <c r="J86" s="4" t="s">
        <v>20</v>
      </c>
      <c r="K86" s="4" t="s">
        <v>63</v>
      </c>
      <c r="L86" s="4" t="s">
        <v>36</v>
      </c>
      <c r="M86" s="5">
        <v>45008</v>
      </c>
      <c r="N86" s="33">
        <v>3499.95</v>
      </c>
    </row>
    <row r="87" spans="1:14" ht="14.5">
      <c r="A87" s="4" t="s">
        <v>361</v>
      </c>
      <c r="B87" s="5">
        <v>45708</v>
      </c>
      <c r="C87" s="4" t="s">
        <v>96</v>
      </c>
      <c r="D87" s="4" t="s">
        <v>97</v>
      </c>
      <c r="E87" s="4" t="s">
        <v>61</v>
      </c>
      <c r="F87" s="4" t="s">
        <v>62</v>
      </c>
      <c r="G87" s="4" t="s">
        <v>19</v>
      </c>
      <c r="H87" s="8">
        <v>3</v>
      </c>
      <c r="I87" s="33">
        <v>899.99</v>
      </c>
      <c r="J87" s="4" t="s">
        <v>20</v>
      </c>
      <c r="K87" s="4" t="s">
        <v>63</v>
      </c>
      <c r="L87" s="4" t="s">
        <v>36</v>
      </c>
      <c r="M87" s="5">
        <v>44613</v>
      </c>
      <c r="N87" s="33">
        <v>2699.97</v>
      </c>
    </row>
    <row r="88" spans="1:14" ht="14.5">
      <c r="A88" s="4" t="s">
        <v>146</v>
      </c>
      <c r="B88" s="5">
        <v>45443</v>
      </c>
      <c r="C88" s="4" t="s">
        <v>147</v>
      </c>
      <c r="D88" s="4" t="s">
        <v>148</v>
      </c>
      <c r="E88" s="4" t="s">
        <v>114</v>
      </c>
      <c r="F88" s="4" t="s">
        <v>115</v>
      </c>
      <c r="G88" s="4" t="s">
        <v>33</v>
      </c>
      <c r="H88" s="8">
        <v>1</v>
      </c>
      <c r="I88" s="33">
        <v>79.989999999999995</v>
      </c>
      <c r="J88" s="4" t="s">
        <v>20</v>
      </c>
      <c r="K88" s="4" t="s">
        <v>40</v>
      </c>
      <c r="L88" s="4" t="s">
        <v>36</v>
      </c>
      <c r="M88" s="5">
        <v>44917</v>
      </c>
      <c r="N88" s="33">
        <v>79.989999999999995</v>
      </c>
    </row>
    <row r="89" spans="1:14" ht="14.5">
      <c r="A89" s="4" t="s">
        <v>205</v>
      </c>
      <c r="B89" s="5">
        <v>45500</v>
      </c>
      <c r="C89" s="4" t="s">
        <v>147</v>
      </c>
      <c r="D89" s="4" t="s">
        <v>148</v>
      </c>
      <c r="E89" s="4" t="s">
        <v>105</v>
      </c>
      <c r="F89" s="4" t="s">
        <v>106</v>
      </c>
      <c r="G89" s="4" t="s">
        <v>46</v>
      </c>
      <c r="H89" s="8">
        <v>1</v>
      </c>
      <c r="I89" s="33">
        <v>299.99</v>
      </c>
      <c r="J89" s="4" t="s">
        <v>20</v>
      </c>
      <c r="K89" s="4" t="s">
        <v>35</v>
      </c>
      <c r="L89" s="4" t="s">
        <v>22</v>
      </c>
      <c r="M89" s="5">
        <v>44982</v>
      </c>
      <c r="N89" s="33">
        <v>299.99</v>
      </c>
    </row>
    <row r="90" spans="1:14" ht="14.5">
      <c r="A90" s="4" t="s">
        <v>207</v>
      </c>
      <c r="B90" s="5">
        <v>45501</v>
      </c>
      <c r="C90" s="4" t="s">
        <v>147</v>
      </c>
      <c r="D90" s="4" t="s">
        <v>148</v>
      </c>
      <c r="E90" s="4" t="s">
        <v>105</v>
      </c>
      <c r="F90" s="4" t="s">
        <v>106</v>
      </c>
      <c r="G90" s="4" t="s">
        <v>46</v>
      </c>
      <c r="H90" s="8">
        <v>3</v>
      </c>
      <c r="I90" s="33">
        <v>299.99</v>
      </c>
      <c r="J90" s="4" t="s">
        <v>20</v>
      </c>
      <c r="K90" s="4" t="s">
        <v>21</v>
      </c>
      <c r="L90" s="4" t="s">
        <v>22</v>
      </c>
      <c r="M90" s="5">
        <v>44732</v>
      </c>
      <c r="N90" s="33">
        <v>899.97</v>
      </c>
    </row>
    <row r="91" spans="1:14" ht="14.5">
      <c r="A91" s="4" t="s">
        <v>250</v>
      </c>
      <c r="B91" s="5">
        <v>45554</v>
      </c>
      <c r="C91" s="4" t="s">
        <v>147</v>
      </c>
      <c r="D91" s="4" t="s">
        <v>148</v>
      </c>
      <c r="E91" s="4" t="s">
        <v>117</v>
      </c>
      <c r="F91" s="4" t="s">
        <v>118</v>
      </c>
      <c r="G91" s="4" t="s">
        <v>19</v>
      </c>
      <c r="H91" s="8">
        <v>5</v>
      </c>
      <c r="I91" s="33">
        <v>89.99</v>
      </c>
      <c r="J91" s="4" t="s">
        <v>26</v>
      </c>
      <c r="K91" s="4" t="s">
        <v>63</v>
      </c>
      <c r="L91" s="4" t="s">
        <v>27</v>
      </c>
      <c r="M91" s="5">
        <v>44446</v>
      </c>
      <c r="N91" s="33">
        <v>449.95</v>
      </c>
    </row>
    <row r="92" spans="1:14" ht="14.5">
      <c r="A92" s="4" t="s">
        <v>266</v>
      </c>
      <c r="B92" s="5">
        <v>45576</v>
      </c>
      <c r="C92" s="4" t="s">
        <v>147</v>
      </c>
      <c r="D92" s="4" t="s">
        <v>148</v>
      </c>
      <c r="E92" s="4" t="s">
        <v>105</v>
      </c>
      <c r="F92" s="4" t="s">
        <v>106</v>
      </c>
      <c r="G92" s="4" t="s">
        <v>46</v>
      </c>
      <c r="H92" s="8">
        <v>3</v>
      </c>
      <c r="I92" s="33">
        <v>299.99</v>
      </c>
      <c r="J92" s="4" t="s">
        <v>26</v>
      </c>
      <c r="K92" s="4" t="s">
        <v>21</v>
      </c>
      <c r="L92" s="4" t="s">
        <v>36</v>
      </c>
      <c r="M92" s="5">
        <v>45174</v>
      </c>
      <c r="N92" s="33">
        <v>899.97</v>
      </c>
    </row>
    <row r="93" spans="1:14" ht="14.5">
      <c r="A93" s="4" t="s">
        <v>313</v>
      </c>
      <c r="B93" s="5">
        <v>45645</v>
      </c>
      <c r="C93" s="4" t="s">
        <v>147</v>
      </c>
      <c r="D93" s="4" t="s">
        <v>148</v>
      </c>
      <c r="E93" s="4" t="s">
        <v>61</v>
      </c>
      <c r="F93" s="4" t="s">
        <v>62</v>
      </c>
      <c r="G93" s="4" t="s">
        <v>19</v>
      </c>
      <c r="H93" s="8">
        <v>5</v>
      </c>
      <c r="I93" s="33">
        <v>899.99</v>
      </c>
      <c r="J93" s="4" t="s">
        <v>57</v>
      </c>
      <c r="K93" s="4" t="s">
        <v>63</v>
      </c>
      <c r="L93" s="4" t="s">
        <v>36</v>
      </c>
      <c r="M93" s="5">
        <v>44625</v>
      </c>
      <c r="N93" s="33">
        <v>4499.95</v>
      </c>
    </row>
    <row r="94" spans="1:14" ht="14.5">
      <c r="A94" s="4" t="s">
        <v>323</v>
      </c>
      <c r="B94" s="5">
        <v>45660</v>
      </c>
      <c r="C94" s="4" t="s">
        <v>147</v>
      </c>
      <c r="D94" s="4" t="s">
        <v>148</v>
      </c>
      <c r="E94" s="4" t="s">
        <v>117</v>
      </c>
      <c r="F94" s="4" t="s">
        <v>118</v>
      </c>
      <c r="G94" s="4" t="s">
        <v>19</v>
      </c>
      <c r="H94" s="8">
        <v>2</v>
      </c>
      <c r="I94" s="33">
        <v>89.99</v>
      </c>
      <c r="J94" s="4" t="s">
        <v>26</v>
      </c>
      <c r="K94" s="4" t="s">
        <v>35</v>
      </c>
      <c r="L94" s="4" t="s">
        <v>27</v>
      </c>
      <c r="M94" s="5">
        <v>44564</v>
      </c>
      <c r="N94" s="33">
        <v>179.98</v>
      </c>
    </row>
    <row r="95" spans="1:14" ht="14.5">
      <c r="A95" s="4" t="s">
        <v>184</v>
      </c>
      <c r="B95" s="5">
        <v>45481</v>
      </c>
      <c r="C95" s="4" t="s">
        <v>185</v>
      </c>
      <c r="D95" s="4" t="s">
        <v>186</v>
      </c>
      <c r="E95" s="4" t="s">
        <v>44</v>
      </c>
      <c r="F95" s="4" t="s">
        <v>45</v>
      </c>
      <c r="G95" s="4" t="s">
        <v>46</v>
      </c>
      <c r="H95" s="8">
        <v>1</v>
      </c>
      <c r="I95" s="33">
        <v>149.99</v>
      </c>
      <c r="J95" s="4" t="s">
        <v>34</v>
      </c>
      <c r="K95" s="4" t="s">
        <v>40</v>
      </c>
      <c r="L95" s="4" t="s">
        <v>22</v>
      </c>
      <c r="M95" s="5">
        <v>44421</v>
      </c>
      <c r="N95" s="33">
        <v>149.99</v>
      </c>
    </row>
    <row r="96" spans="1:14" ht="14.5">
      <c r="A96" s="4" t="s">
        <v>217</v>
      </c>
      <c r="B96" s="5">
        <v>45517</v>
      </c>
      <c r="C96" s="4" t="s">
        <v>185</v>
      </c>
      <c r="D96" s="4" t="s">
        <v>186</v>
      </c>
      <c r="E96" s="4" t="s">
        <v>17</v>
      </c>
      <c r="F96" s="4" t="s">
        <v>18</v>
      </c>
      <c r="G96" s="4" t="s">
        <v>19</v>
      </c>
      <c r="H96" s="8">
        <v>5</v>
      </c>
      <c r="I96" s="33">
        <v>249.99</v>
      </c>
      <c r="J96" s="4" t="s">
        <v>34</v>
      </c>
      <c r="K96" s="4" t="s">
        <v>63</v>
      </c>
      <c r="L96" s="4" t="s">
        <v>27</v>
      </c>
      <c r="M96" s="5">
        <v>44782</v>
      </c>
      <c r="N96" s="33">
        <v>1249.95</v>
      </c>
    </row>
    <row r="97" spans="1:14" ht="14.5">
      <c r="A97" s="4" t="s">
        <v>281</v>
      </c>
      <c r="B97" s="5">
        <v>45605</v>
      </c>
      <c r="C97" s="4" t="s">
        <v>185</v>
      </c>
      <c r="D97" s="4" t="s">
        <v>186</v>
      </c>
      <c r="E97" s="4" t="s">
        <v>17</v>
      </c>
      <c r="F97" s="4" t="s">
        <v>18</v>
      </c>
      <c r="G97" s="4" t="s">
        <v>19</v>
      </c>
      <c r="H97" s="8">
        <v>1</v>
      </c>
      <c r="I97" s="33">
        <v>249.99</v>
      </c>
      <c r="J97" s="4" t="s">
        <v>26</v>
      </c>
      <c r="K97" s="4" t="s">
        <v>40</v>
      </c>
      <c r="L97" s="4" t="s">
        <v>27</v>
      </c>
      <c r="M97" s="5">
        <v>44828</v>
      </c>
      <c r="N97" s="33">
        <v>249.99</v>
      </c>
    </row>
    <row r="98" spans="1:14" ht="14.5">
      <c r="A98" s="4" t="s">
        <v>389</v>
      </c>
      <c r="B98" s="5">
        <v>45745</v>
      </c>
      <c r="C98" s="4" t="s">
        <v>185</v>
      </c>
      <c r="D98" s="4" t="s">
        <v>186</v>
      </c>
      <c r="E98" s="4" t="s">
        <v>117</v>
      </c>
      <c r="F98" s="4" t="s">
        <v>118</v>
      </c>
      <c r="G98" s="4" t="s">
        <v>19</v>
      </c>
      <c r="H98" s="8">
        <v>5</v>
      </c>
      <c r="I98" s="33">
        <v>89.99</v>
      </c>
      <c r="J98" s="4" t="s">
        <v>34</v>
      </c>
      <c r="K98" s="4" t="s">
        <v>35</v>
      </c>
      <c r="L98" s="4" t="s">
        <v>22</v>
      </c>
      <c r="M98" s="5">
        <v>44704</v>
      </c>
      <c r="N98" s="33">
        <v>449.95</v>
      </c>
    </row>
    <row r="99" spans="1:14" ht="14.5">
      <c r="A99" s="4" t="s">
        <v>28</v>
      </c>
      <c r="B99" s="5">
        <v>45399</v>
      </c>
      <c r="C99" s="4" t="s">
        <v>29</v>
      </c>
      <c r="D99" s="4" t="s">
        <v>30</v>
      </c>
      <c r="E99" s="4" t="s">
        <v>31</v>
      </c>
      <c r="F99" s="4" t="s">
        <v>32</v>
      </c>
      <c r="G99" s="4" t="s">
        <v>33</v>
      </c>
      <c r="H99" s="8">
        <v>3</v>
      </c>
      <c r="I99" s="33">
        <v>59.99</v>
      </c>
      <c r="J99" s="4" t="s">
        <v>34</v>
      </c>
      <c r="K99" s="4" t="s">
        <v>35</v>
      </c>
      <c r="L99" s="4" t="s">
        <v>36</v>
      </c>
      <c r="M99" s="5">
        <v>45262</v>
      </c>
      <c r="N99" s="33">
        <v>179.97</v>
      </c>
    </row>
    <row r="100" spans="1:14" ht="14.5">
      <c r="A100" s="4" t="s">
        <v>134</v>
      </c>
      <c r="B100" s="5">
        <v>45432</v>
      </c>
      <c r="C100" s="4" t="s">
        <v>29</v>
      </c>
      <c r="D100" s="4" t="s">
        <v>30</v>
      </c>
      <c r="E100" s="4" t="s">
        <v>61</v>
      </c>
      <c r="F100" s="4" t="s">
        <v>62</v>
      </c>
      <c r="G100" s="4" t="s">
        <v>19</v>
      </c>
      <c r="H100" s="8">
        <v>1</v>
      </c>
      <c r="I100" s="33">
        <v>899.99</v>
      </c>
      <c r="J100" s="4" t="s">
        <v>26</v>
      </c>
      <c r="K100" s="4" t="s">
        <v>50</v>
      </c>
      <c r="L100" s="4" t="s">
        <v>27</v>
      </c>
      <c r="M100" s="5">
        <v>44578</v>
      </c>
      <c r="N100" s="33">
        <v>899.99</v>
      </c>
    </row>
    <row r="101" spans="1:14" ht="14.5">
      <c r="A101" s="4" t="s">
        <v>173</v>
      </c>
      <c r="B101" s="5">
        <v>45469</v>
      </c>
      <c r="C101" s="4" t="s">
        <v>29</v>
      </c>
      <c r="D101" s="4" t="s">
        <v>30</v>
      </c>
      <c r="E101" s="4" t="s">
        <v>114</v>
      </c>
      <c r="F101" s="4" t="s">
        <v>115</v>
      </c>
      <c r="G101" s="4" t="s">
        <v>33</v>
      </c>
      <c r="H101" s="8">
        <v>1</v>
      </c>
      <c r="I101" s="33">
        <v>79.989999999999995</v>
      </c>
      <c r="J101" s="4" t="s">
        <v>34</v>
      </c>
      <c r="K101" s="4" t="s">
        <v>21</v>
      </c>
      <c r="L101" s="4" t="s">
        <v>27</v>
      </c>
      <c r="M101" s="5">
        <v>45352</v>
      </c>
      <c r="N101" s="33">
        <v>79.989999999999995</v>
      </c>
    </row>
    <row r="102" spans="1:14" ht="14.5">
      <c r="A102" s="4" t="s">
        <v>296</v>
      </c>
      <c r="B102" s="5">
        <v>45627</v>
      </c>
      <c r="C102" s="4" t="s">
        <v>29</v>
      </c>
      <c r="D102" s="4" t="s">
        <v>30</v>
      </c>
      <c r="E102" s="4" t="s">
        <v>105</v>
      </c>
      <c r="F102" s="4" t="s">
        <v>106</v>
      </c>
      <c r="G102" s="4" t="s">
        <v>46</v>
      </c>
      <c r="H102" s="8">
        <v>3</v>
      </c>
      <c r="I102" s="33">
        <v>299.99</v>
      </c>
      <c r="J102" s="4" t="s">
        <v>20</v>
      </c>
      <c r="K102" s="4" t="s">
        <v>35</v>
      </c>
      <c r="L102" s="4" t="s">
        <v>27</v>
      </c>
      <c r="M102" s="5">
        <v>44659</v>
      </c>
      <c r="N102" s="33">
        <v>899.97</v>
      </c>
    </row>
    <row r="103" spans="1:14" ht="14.5">
      <c r="A103" s="4" t="s">
        <v>317</v>
      </c>
      <c r="B103" s="5">
        <v>45649</v>
      </c>
      <c r="C103" s="4" t="s">
        <v>29</v>
      </c>
      <c r="D103" s="4" t="s">
        <v>30</v>
      </c>
      <c r="E103" s="4" t="s">
        <v>105</v>
      </c>
      <c r="F103" s="4" t="s">
        <v>106</v>
      </c>
      <c r="G103" s="4" t="s">
        <v>46</v>
      </c>
      <c r="H103" s="8">
        <v>2</v>
      </c>
      <c r="I103" s="33">
        <v>299.99</v>
      </c>
      <c r="J103" s="4" t="s">
        <v>34</v>
      </c>
      <c r="K103" s="4" t="s">
        <v>35</v>
      </c>
      <c r="L103" s="4" t="s">
        <v>22</v>
      </c>
      <c r="M103" s="5">
        <v>44721</v>
      </c>
      <c r="N103" s="33">
        <v>599.98</v>
      </c>
    </row>
    <row r="104" spans="1:14" ht="14.5">
      <c r="A104" s="4" t="s">
        <v>356</v>
      </c>
      <c r="B104" s="5">
        <v>45704</v>
      </c>
      <c r="C104" s="4" t="s">
        <v>29</v>
      </c>
      <c r="D104" s="4" t="s">
        <v>30</v>
      </c>
      <c r="E104" s="4" t="s">
        <v>126</v>
      </c>
      <c r="F104" s="4" t="s">
        <v>127</v>
      </c>
      <c r="G104" s="4" t="s">
        <v>46</v>
      </c>
      <c r="H104" s="8">
        <v>3</v>
      </c>
      <c r="I104" s="33">
        <v>199.99</v>
      </c>
      <c r="J104" s="4" t="s">
        <v>20</v>
      </c>
      <c r="K104" s="4" t="s">
        <v>21</v>
      </c>
      <c r="L104" s="4" t="s">
        <v>22</v>
      </c>
      <c r="M104" s="5">
        <v>44735</v>
      </c>
      <c r="N104" s="33">
        <v>599.97</v>
      </c>
    </row>
    <row r="105" spans="1:14" ht="14.5">
      <c r="A105" s="4" t="s">
        <v>67</v>
      </c>
      <c r="B105" s="5">
        <v>45408</v>
      </c>
      <c r="C105" s="4" t="s">
        <v>68</v>
      </c>
      <c r="D105" s="4" t="s">
        <v>69</v>
      </c>
      <c r="E105" s="4" t="s">
        <v>44</v>
      </c>
      <c r="F105" s="4" t="s">
        <v>45</v>
      </c>
      <c r="G105" s="4" t="s">
        <v>46</v>
      </c>
      <c r="H105" s="8">
        <v>1</v>
      </c>
      <c r="I105" s="33">
        <v>149.99</v>
      </c>
      <c r="J105" s="4" t="s">
        <v>26</v>
      </c>
      <c r="K105" s="4" t="s">
        <v>50</v>
      </c>
      <c r="L105" s="4" t="s">
        <v>36</v>
      </c>
      <c r="M105" s="5">
        <v>45103</v>
      </c>
      <c r="N105" s="33">
        <v>149.99</v>
      </c>
    </row>
    <row r="106" spans="1:14" ht="14.5">
      <c r="A106" s="4" t="s">
        <v>110</v>
      </c>
      <c r="B106" s="5">
        <v>45424</v>
      </c>
      <c r="C106" s="4" t="s">
        <v>68</v>
      </c>
      <c r="D106" s="4" t="s">
        <v>69</v>
      </c>
      <c r="E106" s="4" t="s">
        <v>105</v>
      </c>
      <c r="F106" s="4" t="s">
        <v>106</v>
      </c>
      <c r="G106" s="4" t="s">
        <v>46</v>
      </c>
      <c r="H106" s="8">
        <v>5</v>
      </c>
      <c r="I106" s="33">
        <v>299.99</v>
      </c>
      <c r="J106" s="4" t="s">
        <v>34</v>
      </c>
      <c r="K106" s="4" t="s">
        <v>63</v>
      </c>
      <c r="L106" s="4" t="s">
        <v>22</v>
      </c>
      <c r="M106" s="5">
        <v>45168</v>
      </c>
      <c r="N106" s="33">
        <v>1499.95</v>
      </c>
    </row>
    <row r="107" spans="1:14" ht="14.5">
      <c r="A107" s="4" t="s">
        <v>180</v>
      </c>
      <c r="B107" s="5">
        <v>45476</v>
      </c>
      <c r="C107" s="4" t="s">
        <v>68</v>
      </c>
      <c r="D107" s="4" t="s">
        <v>69</v>
      </c>
      <c r="E107" s="4" t="s">
        <v>117</v>
      </c>
      <c r="F107" s="4" t="s">
        <v>118</v>
      </c>
      <c r="G107" s="4" t="s">
        <v>19</v>
      </c>
      <c r="H107" s="8">
        <v>1</v>
      </c>
      <c r="I107" s="33">
        <v>89.99</v>
      </c>
      <c r="J107" s="4" t="s">
        <v>20</v>
      </c>
      <c r="K107" s="4" t="s">
        <v>35</v>
      </c>
      <c r="L107" s="4" t="s">
        <v>36</v>
      </c>
      <c r="M107" s="5">
        <v>44611</v>
      </c>
      <c r="N107" s="33">
        <v>89.99</v>
      </c>
    </row>
    <row r="108" spans="1:14" ht="14.5">
      <c r="A108" s="4" t="s">
        <v>343</v>
      </c>
      <c r="B108" s="5">
        <v>45682</v>
      </c>
      <c r="C108" s="4" t="s">
        <v>68</v>
      </c>
      <c r="D108" s="4" t="s">
        <v>69</v>
      </c>
      <c r="E108" s="4" t="s">
        <v>31</v>
      </c>
      <c r="F108" s="4" t="s">
        <v>32</v>
      </c>
      <c r="G108" s="4" t="s">
        <v>33</v>
      </c>
      <c r="H108" s="8">
        <v>4</v>
      </c>
      <c r="I108" s="33">
        <v>59.99</v>
      </c>
      <c r="J108" s="4" t="s">
        <v>57</v>
      </c>
      <c r="K108" s="4" t="s">
        <v>63</v>
      </c>
      <c r="L108" s="4" t="s">
        <v>36</v>
      </c>
      <c r="M108" s="5">
        <v>44564</v>
      </c>
      <c r="N108" s="33">
        <v>239.96</v>
      </c>
    </row>
    <row r="109" spans="1:14" ht="14.5">
      <c r="A109" s="4" t="s">
        <v>14</v>
      </c>
      <c r="B109" s="5">
        <v>45393</v>
      </c>
      <c r="C109" s="4" t="s">
        <v>15</v>
      </c>
      <c r="D109" s="4" t="s">
        <v>16</v>
      </c>
      <c r="E109" s="4" t="s">
        <v>17</v>
      </c>
      <c r="F109" s="4" t="s">
        <v>18</v>
      </c>
      <c r="G109" s="4" t="s">
        <v>19</v>
      </c>
      <c r="H109" s="8">
        <v>3</v>
      </c>
      <c r="I109" s="33">
        <v>249.99</v>
      </c>
      <c r="J109" s="4" t="s">
        <v>20</v>
      </c>
      <c r="K109" s="4" t="s">
        <v>21</v>
      </c>
      <c r="L109" s="4" t="s">
        <v>22</v>
      </c>
      <c r="M109" s="5">
        <v>44425</v>
      </c>
      <c r="N109" s="33">
        <v>749.97</v>
      </c>
    </row>
    <row r="110" spans="1:14" ht="14.5">
      <c r="A110" s="4" t="s">
        <v>166</v>
      </c>
      <c r="B110" s="5">
        <v>45459</v>
      </c>
      <c r="C110" s="4" t="s">
        <v>15</v>
      </c>
      <c r="D110" s="4" t="s">
        <v>16</v>
      </c>
      <c r="E110" s="4" t="s">
        <v>61</v>
      </c>
      <c r="F110" s="4" t="s">
        <v>62</v>
      </c>
      <c r="G110" s="4" t="s">
        <v>19</v>
      </c>
      <c r="H110" s="8">
        <v>5</v>
      </c>
      <c r="I110" s="33">
        <v>899.99</v>
      </c>
      <c r="J110" s="4" t="s">
        <v>26</v>
      </c>
      <c r="K110" s="4" t="s">
        <v>35</v>
      </c>
      <c r="L110" s="4" t="s">
        <v>36</v>
      </c>
      <c r="M110" s="5">
        <v>44974</v>
      </c>
      <c r="N110" s="33">
        <v>4499.95</v>
      </c>
    </row>
    <row r="111" spans="1:14" ht="14.5">
      <c r="A111" s="4" t="s">
        <v>237</v>
      </c>
      <c r="B111" s="5">
        <v>45537</v>
      </c>
      <c r="C111" s="4" t="s">
        <v>15</v>
      </c>
      <c r="D111" s="4" t="s">
        <v>16</v>
      </c>
      <c r="E111" s="4" t="s">
        <v>17</v>
      </c>
      <c r="F111" s="4" t="s">
        <v>18</v>
      </c>
      <c r="G111" s="4" t="s">
        <v>19</v>
      </c>
      <c r="H111" s="8">
        <v>1</v>
      </c>
      <c r="I111" s="33">
        <v>249.99</v>
      </c>
      <c r="J111" s="4" t="s">
        <v>57</v>
      </c>
      <c r="K111" s="4" t="s">
        <v>40</v>
      </c>
      <c r="L111" s="4" t="s">
        <v>27</v>
      </c>
      <c r="M111" s="5">
        <v>45332</v>
      </c>
      <c r="N111" s="33">
        <v>249.99</v>
      </c>
    </row>
    <row r="112" spans="1:14" ht="14.5">
      <c r="A112" s="4" t="s">
        <v>277</v>
      </c>
      <c r="B112" s="5">
        <v>45597</v>
      </c>
      <c r="C112" s="4" t="s">
        <v>15</v>
      </c>
      <c r="D112" s="4" t="s">
        <v>16</v>
      </c>
      <c r="E112" s="4" t="s">
        <v>17</v>
      </c>
      <c r="F112" s="4" t="s">
        <v>18</v>
      </c>
      <c r="G112" s="4" t="s">
        <v>19</v>
      </c>
      <c r="H112" s="8">
        <v>5</v>
      </c>
      <c r="I112" s="33">
        <v>249.99</v>
      </c>
      <c r="J112" s="4" t="s">
        <v>26</v>
      </c>
      <c r="K112" s="4" t="s">
        <v>35</v>
      </c>
      <c r="L112" s="4" t="s">
        <v>36</v>
      </c>
      <c r="M112" s="5">
        <v>44881</v>
      </c>
      <c r="N112" s="33">
        <v>1249.95</v>
      </c>
    </row>
    <row r="113" spans="1:14" ht="14.5">
      <c r="A113" s="4" t="s">
        <v>283</v>
      </c>
      <c r="B113" s="5">
        <v>45607</v>
      </c>
      <c r="C113" s="4" t="s">
        <v>15</v>
      </c>
      <c r="D113" s="4" t="s">
        <v>16</v>
      </c>
      <c r="E113" s="4" t="s">
        <v>31</v>
      </c>
      <c r="F113" s="4" t="s">
        <v>32</v>
      </c>
      <c r="G113" s="4" t="s">
        <v>33</v>
      </c>
      <c r="H113" s="8">
        <v>5</v>
      </c>
      <c r="I113" s="33">
        <v>59.99</v>
      </c>
      <c r="J113" s="4" t="s">
        <v>34</v>
      </c>
      <c r="K113" s="4" t="s">
        <v>50</v>
      </c>
      <c r="L113" s="4" t="s">
        <v>27</v>
      </c>
      <c r="M113" s="5">
        <v>44694</v>
      </c>
      <c r="N113" s="33">
        <v>299.95</v>
      </c>
    </row>
    <row r="114" spans="1:14" ht="14.5">
      <c r="A114" s="4" t="s">
        <v>357</v>
      </c>
      <c r="B114" s="5">
        <v>45704</v>
      </c>
      <c r="C114" s="4" t="s">
        <v>15</v>
      </c>
      <c r="D114" s="4" t="s">
        <v>16</v>
      </c>
      <c r="E114" s="4" t="s">
        <v>117</v>
      </c>
      <c r="F114" s="4" t="s">
        <v>118</v>
      </c>
      <c r="G114" s="4" t="s">
        <v>19</v>
      </c>
      <c r="H114" s="8">
        <v>2</v>
      </c>
      <c r="I114" s="33">
        <v>89.99</v>
      </c>
      <c r="J114" s="4" t="s">
        <v>34</v>
      </c>
      <c r="K114" s="4" t="s">
        <v>21</v>
      </c>
      <c r="L114" s="4" t="s">
        <v>22</v>
      </c>
      <c r="M114" s="5">
        <v>45257</v>
      </c>
      <c r="N114" s="33">
        <v>179.98</v>
      </c>
    </row>
    <row r="115" spans="1:14" ht="14.5">
      <c r="A115" s="4" t="s">
        <v>374</v>
      </c>
      <c r="B115" s="5">
        <v>45723</v>
      </c>
      <c r="C115" s="4" t="s">
        <v>15</v>
      </c>
      <c r="D115" s="4" t="s">
        <v>16</v>
      </c>
      <c r="E115" s="4" t="s">
        <v>117</v>
      </c>
      <c r="F115" s="4" t="s">
        <v>118</v>
      </c>
      <c r="G115" s="4" t="s">
        <v>19</v>
      </c>
      <c r="H115" s="8">
        <v>2</v>
      </c>
      <c r="I115" s="33">
        <v>89.99</v>
      </c>
      <c r="J115" s="4" t="s">
        <v>26</v>
      </c>
      <c r="K115" s="4" t="s">
        <v>50</v>
      </c>
      <c r="L115" s="4" t="s">
        <v>27</v>
      </c>
      <c r="M115" s="5">
        <v>45295</v>
      </c>
      <c r="N115" s="33">
        <v>179.98</v>
      </c>
    </row>
    <row r="116" spans="1:14" ht="14.5">
      <c r="A116" s="4" t="s">
        <v>384</v>
      </c>
      <c r="B116" s="5">
        <v>45739</v>
      </c>
      <c r="C116" s="4" t="s">
        <v>15</v>
      </c>
      <c r="D116" s="4" t="s">
        <v>16</v>
      </c>
      <c r="E116" s="4" t="s">
        <v>105</v>
      </c>
      <c r="F116" s="4" t="s">
        <v>106</v>
      </c>
      <c r="G116" s="4" t="s">
        <v>46</v>
      </c>
      <c r="H116" s="8">
        <v>3</v>
      </c>
      <c r="I116" s="33">
        <v>299.99</v>
      </c>
      <c r="J116" s="4" t="s">
        <v>26</v>
      </c>
      <c r="K116" s="4" t="s">
        <v>50</v>
      </c>
      <c r="L116" s="4" t="s">
        <v>27</v>
      </c>
      <c r="M116" s="5">
        <v>45234</v>
      </c>
      <c r="N116" s="33">
        <v>899.97</v>
      </c>
    </row>
    <row r="117" spans="1:14" ht="14.5">
      <c r="A117" s="4" t="s">
        <v>47</v>
      </c>
      <c r="B117" s="5">
        <v>45403</v>
      </c>
      <c r="C117" s="4" t="s">
        <v>48</v>
      </c>
      <c r="D117" s="4" t="s">
        <v>49</v>
      </c>
      <c r="E117" s="4" t="s">
        <v>31</v>
      </c>
      <c r="F117" s="4" t="s">
        <v>32</v>
      </c>
      <c r="G117" s="4" t="s">
        <v>33</v>
      </c>
      <c r="H117" s="8">
        <v>2</v>
      </c>
      <c r="I117" s="33">
        <v>59.99</v>
      </c>
      <c r="J117" s="4" t="s">
        <v>20</v>
      </c>
      <c r="K117" s="4" t="s">
        <v>50</v>
      </c>
      <c r="L117" s="4" t="s">
        <v>36</v>
      </c>
      <c r="M117" s="5">
        <v>44746</v>
      </c>
      <c r="N117" s="33">
        <v>119.98</v>
      </c>
    </row>
    <row r="118" spans="1:14" ht="14.5">
      <c r="A118" s="4" t="s">
        <v>51</v>
      </c>
      <c r="B118" s="5">
        <v>45403</v>
      </c>
      <c r="C118" s="4" t="s">
        <v>48</v>
      </c>
      <c r="D118" s="4" t="s">
        <v>49</v>
      </c>
      <c r="E118" s="4" t="s">
        <v>52</v>
      </c>
      <c r="F118" s="4" t="s">
        <v>53</v>
      </c>
      <c r="G118" s="4" t="s">
        <v>19</v>
      </c>
      <c r="H118" s="8">
        <v>5</v>
      </c>
      <c r="I118" s="33">
        <v>149.99</v>
      </c>
      <c r="J118" s="4" t="s">
        <v>26</v>
      </c>
      <c r="K118" s="4" t="s">
        <v>21</v>
      </c>
      <c r="L118" s="4" t="s">
        <v>36</v>
      </c>
      <c r="M118" s="5">
        <v>44418</v>
      </c>
      <c r="N118" s="33">
        <v>749.95</v>
      </c>
    </row>
    <row r="119" spans="1:14" ht="14.5">
      <c r="A119" s="4" t="s">
        <v>243</v>
      </c>
      <c r="B119" s="5">
        <v>45547</v>
      </c>
      <c r="C119" s="4" t="s">
        <v>48</v>
      </c>
      <c r="D119" s="4" t="s">
        <v>49</v>
      </c>
      <c r="E119" s="4" t="s">
        <v>105</v>
      </c>
      <c r="F119" s="4" t="s">
        <v>106</v>
      </c>
      <c r="G119" s="4" t="s">
        <v>46</v>
      </c>
      <c r="H119" s="8">
        <v>3</v>
      </c>
      <c r="I119" s="33">
        <v>299.99</v>
      </c>
      <c r="J119" s="4" t="s">
        <v>26</v>
      </c>
      <c r="K119" s="4" t="s">
        <v>21</v>
      </c>
      <c r="L119" s="4" t="s">
        <v>27</v>
      </c>
      <c r="M119" s="5">
        <v>44494</v>
      </c>
      <c r="N119" s="33">
        <v>899.97</v>
      </c>
    </row>
    <row r="120" spans="1:14" ht="14.5">
      <c r="A120" s="4" t="s">
        <v>301</v>
      </c>
      <c r="B120" s="5">
        <v>45630</v>
      </c>
      <c r="C120" s="4" t="s">
        <v>48</v>
      </c>
      <c r="D120" s="4" t="s">
        <v>49</v>
      </c>
      <c r="E120" s="4" t="s">
        <v>80</v>
      </c>
      <c r="F120" s="4" t="s">
        <v>81</v>
      </c>
      <c r="G120" s="4" t="s">
        <v>19</v>
      </c>
      <c r="H120" s="8">
        <v>4</v>
      </c>
      <c r="I120" s="33">
        <v>699.99</v>
      </c>
      <c r="J120" s="4" t="s">
        <v>26</v>
      </c>
      <c r="K120" s="4" t="s">
        <v>40</v>
      </c>
      <c r="L120" s="4" t="s">
        <v>27</v>
      </c>
      <c r="M120" s="5">
        <v>44703</v>
      </c>
      <c r="N120" s="33">
        <v>2799.96</v>
      </c>
    </row>
    <row r="121" spans="1:14" ht="14.5">
      <c r="A121" s="4" t="s">
        <v>344</v>
      </c>
      <c r="B121" s="5">
        <v>45683</v>
      </c>
      <c r="C121" s="4" t="s">
        <v>48</v>
      </c>
      <c r="D121" s="4" t="s">
        <v>49</v>
      </c>
      <c r="E121" s="4" t="s">
        <v>17</v>
      </c>
      <c r="F121" s="4" t="s">
        <v>18</v>
      </c>
      <c r="G121" s="4" t="s">
        <v>19</v>
      </c>
      <c r="H121" s="8">
        <v>4</v>
      </c>
      <c r="I121" s="33">
        <v>249.99</v>
      </c>
      <c r="J121" s="4" t="s">
        <v>57</v>
      </c>
      <c r="K121" s="4" t="s">
        <v>21</v>
      </c>
      <c r="L121" s="4" t="s">
        <v>27</v>
      </c>
      <c r="M121" s="5">
        <v>45217</v>
      </c>
      <c r="N121" s="33">
        <v>999.96</v>
      </c>
    </row>
    <row r="122" spans="1:14" ht="14.5">
      <c r="A122" s="4" t="s">
        <v>383</v>
      </c>
      <c r="B122" s="5">
        <v>45737</v>
      </c>
      <c r="C122" s="4" t="s">
        <v>48</v>
      </c>
      <c r="D122" s="4" t="s">
        <v>49</v>
      </c>
      <c r="E122" s="4" t="s">
        <v>61</v>
      </c>
      <c r="F122" s="4" t="s">
        <v>62</v>
      </c>
      <c r="G122" s="4" t="s">
        <v>19</v>
      </c>
      <c r="H122" s="8">
        <v>3</v>
      </c>
      <c r="I122" s="33">
        <v>899.99</v>
      </c>
      <c r="J122" s="4" t="s">
        <v>34</v>
      </c>
      <c r="K122" s="4" t="s">
        <v>40</v>
      </c>
      <c r="L122" s="4" t="s">
        <v>22</v>
      </c>
      <c r="M122" s="5">
        <v>44975</v>
      </c>
      <c r="N122" s="33">
        <v>2699.97</v>
      </c>
    </row>
    <row r="123" spans="1:14" ht="14.5">
      <c r="A123" s="4" t="s">
        <v>85</v>
      </c>
      <c r="B123" s="5">
        <v>45410</v>
      </c>
      <c r="C123" s="4" t="s">
        <v>86</v>
      </c>
      <c r="D123" s="4" t="s">
        <v>87</v>
      </c>
      <c r="E123" s="4" t="s">
        <v>44</v>
      </c>
      <c r="F123" s="4" t="s">
        <v>45</v>
      </c>
      <c r="G123" s="4" t="s">
        <v>46</v>
      </c>
      <c r="H123" s="8">
        <v>4</v>
      </c>
      <c r="I123" s="33">
        <v>149.99</v>
      </c>
      <c r="J123" s="4" t="s">
        <v>57</v>
      </c>
      <c r="K123" s="4" t="s">
        <v>40</v>
      </c>
      <c r="L123" s="4" t="s">
        <v>27</v>
      </c>
      <c r="M123" s="5">
        <v>45374</v>
      </c>
      <c r="N123" s="33">
        <v>599.96</v>
      </c>
    </row>
    <row r="124" spans="1:14" ht="14.5">
      <c r="A124" s="4" t="s">
        <v>91</v>
      </c>
      <c r="B124" s="5">
        <v>45410</v>
      </c>
      <c r="C124" s="4" t="s">
        <v>86</v>
      </c>
      <c r="D124" s="4" t="s">
        <v>87</v>
      </c>
      <c r="E124" s="4" t="s">
        <v>61</v>
      </c>
      <c r="F124" s="4" t="s">
        <v>62</v>
      </c>
      <c r="G124" s="4" t="s">
        <v>19</v>
      </c>
      <c r="H124" s="8">
        <v>4</v>
      </c>
      <c r="I124" s="33">
        <v>899.99</v>
      </c>
      <c r="J124" s="4" t="s">
        <v>26</v>
      </c>
      <c r="K124" s="4" t="s">
        <v>50</v>
      </c>
      <c r="L124" s="4" t="s">
        <v>36</v>
      </c>
      <c r="M124" s="5">
        <v>45327</v>
      </c>
      <c r="N124" s="33">
        <v>3599.96</v>
      </c>
    </row>
    <row r="125" spans="1:14" ht="14.5">
      <c r="A125" s="4" t="s">
        <v>104</v>
      </c>
      <c r="B125" s="5">
        <v>45416</v>
      </c>
      <c r="C125" s="4" t="s">
        <v>86</v>
      </c>
      <c r="D125" s="4" t="s">
        <v>87</v>
      </c>
      <c r="E125" s="4" t="s">
        <v>105</v>
      </c>
      <c r="F125" s="4" t="s">
        <v>106</v>
      </c>
      <c r="G125" s="4" t="s">
        <v>46</v>
      </c>
      <c r="H125" s="8">
        <v>4</v>
      </c>
      <c r="I125" s="33">
        <v>299.99</v>
      </c>
      <c r="J125" s="4" t="s">
        <v>20</v>
      </c>
      <c r="K125" s="4" t="s">
        <v>50</v>
      </c>
      <c r="L125" s="4" t="s">
        <v>27</v>
      </c>
      <c r="M125" s="5">
        <v>44716</v>
      </c>
      <c r="N125" s="33">
        <v>1199.96</v>
      </c>
    </row>
    <row r="126" spans="1:14" ht="14.5">
      <c r="A126" s="4" t="s">
        <v>206</v>
      </c>
      <c r="B126" s="5">
        <v>45501</v>
      </c>
      <c r="C126" s="4" t="s">
        <v>86</v>
      </c>
      <c r="D126" s="4" t="s">
        <v>87</v>
      </c>
      <c r="E126" s="4" t="s">
        <v>117</v>
      </c>
      <c r="F126" s="4" t="s">
        <v>118</v>
      </c>
      <c r="G126" s="4" t="s">
        <v>19</v>
      </c>
      <c r="H126" s="8">
        <v>2</v>
      </c>
      <c r="I126" s="33">
        <v>89.99</v>
      </c>
      <c r="J126" s="4" t="s">
        <v>34</v>
      </c>
      <c r="K126" s="4" t="s">
        <v>35</v>
      </c>
      <c r="L126" s="4" t="s">
        <v>22</v>
      </c>
      <c r="M126" s="5">
        <v>44976</v>
      </c>
      <c r="N126" s="33">
        <v>179.98</v>
      </c>
    </row>
    <row r="127" spans="1:14" ht="14.5">
      <c r="A127" s="4" t="s">
        <v>208</v>
      </c>
      <c r="B127" s="5">
        <v>45503</v>
      </c>
      <c r="C127" s="4" t="s">
        <v>86</v>
      </c>
      <c r="D127" s="4" t="s">
        <v>87</v>
      </c>
      <c r="E127" s="4" t="s">
        <v>80</v>
      </c>
      <c r="F127" s="4" t="s">
        <v>81</v>
      </c>
      <c r="G127" s="4" t="s">
        <v>19</v>
      </c>
      <c r="H127" s="8">
        <v>2</v>
      </c>
      <c r="I127" s="33">
        <v>699.99</v>
      </c>
      <c r="J127" s="4" t="s">
        <v>26</v>
      </c>
      <c r="K127" s="4" t="s">
        <v>40</v>
      </c>
      <c r="L127" s="4" t="s">
        <v>27</v>
      </c>
      <c r="M127" s="5">
        <v>44999</v>
      </c>
      <c r="N127" s="33">
        <v>1399.98</v>
      </c>
    </row>
    <row r="128" spans="1:14" ht="14.5">
      <c r="A128" s="4" t="s">
        <v>215</v>
      </c>
      <c r="B128" s="5">
        <v>45515</v>
      </c>
      <c r="C128" s="4" t="s">
        <v>86</v>
      </c>
      <c r="D128" s="4" t="s">
        <v>87</v>
      </c>
      <c r="E128" s="4" t="s">
        <v>105</v>
      </c>
      <c r="F128" s="4" t="s">
        <v>106</v>
      </c>
      <c r="G128" s="4" t="s">
        <v>46</v>
      </c>
      <c r="H128" s="8">
        <v>5</v>
      </c>
      <c r="I128" s="33">
        <v>299.99</v>
      </c>
      <c r="J128" s="4" t="s">
        <v>26</v>
      </c>
      <c r="K128" s="4" t="s">
        <v>40</v>
      </c>
      <c r="L128" s="4" t="s">
        <v>22</v>
      </c>
      <c r="M128" s="5">
        <v>44965</v>
      </c>
      <c r="N128" s="33">
        <v>1499.95</v>
      </c>
    </row>
    <row r="129" spans="1:14" ht="14.5">
      <c r="A129" s="4" t="s">
        <v>221</v>
      </c>
      <c r="B129" s="5">
        <v>45522</v>
      </c>
      <c r="C129" s="4" t="s">
        <v>86</v>
      </c>
      <c r="D129" s="4" t="s">
        <v>87</v>
      </c>
      <c r="E129" s="4" t="s">
        <v>117</v>
      </c>
      <c r="F129" s="4" t="s">
        <v>118</v>
      </c>
      <c r="G129" s="4" t="s">
        <v>19</v>
      </c>
      <c r="H129" s="8">
        <v>2</v>
      </c>
      <c r="I129" s="33">
        <v>89.99</v>
      </c>
      <c r="J129" s="4" t="s">
        <v>20</v>
      </c>
      <c r="K129" s="4" t="s">
        <v>63</v>
      </c>
      <c r="L129" s="4" t="s">
        <v>27</v>
      </c>
      <c r="M129" s="5">
        <v>44972</v>
      </c>
      <c r="N129" s="33">
        <v>179.98</v>
      </c>
    </row>
    <row r="130" spans="1:14" ht="14.5">
      <c r="A130" s="4" t="s">
        <v>288</v>
      </c>
      <c r="B130" s="5">
        <v>45613</v>
      </c>
      <c r="C130" s="4" t="s">
        <v>86</v>
      </c>
      <c r="D130" s="4" t="s">
        <v>87</v>
      </c>
      <c r="E130" s="4" t="s">
        <v>80</v>
      </c>
      <c r="F130" s="4" t="s">
        <v>81</v>
      </c>
      <c r="G130" s="4" t="s">
        <v>19</v>
      </c>
      <c r="H130" s="8">
        <v>2</v>
      </c>
      <c r="I130" s="33">
        <v>699.99</v>
      </c>
      <c r="J130" s="4" t="s">
        <v>34</v>
      </c>
      <c r="K130" s="4" t="s">
        <v>50</v>
      </c>
      <c r="L130" s="4" t="s">
        <v>36</v>
      </c>
      <c r="M130" s="5">
        <v>44770</v>
      </c>
      <c r="N130" s="33">
        <v>1399.98</v>
      </c>
    </row>
    <row r="131" spans="1:14" ht="14.5">
      <c r="A131" s="4" t="s">
        <v>299</v>
      </c>
      <c r="B131" s="5">
        <v>45627</v>
      </c>
      <c r="C131" s="4" t="s">
        <v>86</v>
      </c>
      <c r="D131" s="4" t="s">
        <v>87</v>
      </c>
      <c r="E131" s="4" t="s">
        <v>80</v>
      </c>
      <c r="F131" s="4" t="s">
        <v>81</v>
      </c>
      <c r="G131" s="4" t="s">
        <v>19</v>
      </c>
      <c r="H131" s="8">
        <v>5</v>
      </c>
      <c r="I131" s="33">
        <v>699.99</v>
      </c>
      <c r="J131" s="4" t="s">
        <v>57</v>
      </c>
      <c r="K131" s="4" t="s">
        <v>50</v>
      </c>
      <c r="L131" s="4" t="s">
        <v>36</v>
      </c>
      <c r="M131" s="5">
        <v>44944</v>
      </c>
      <c r="N131" s="33">
        <v>3499.95</v>
      </c>
    </row>
    <row r="132" spans="1:14" ht="14.5">
      <c r="A132" s="4" t="s">
        <v>322</v>
      </c>
      <c r="B132" s="5">
        <v>45657</v>
      </c>
      <c r="C132" s="4" t="s">
        <v>86</v>
      </c>
      <c r="D132" s="4" t="s">
        <v>87</v>
      </c>
      <c r="E132" s="4" t="s">
        <v>61</v>
      </c>
      <c r="F132" s="4" t="s">
        <v>62</v>
      </c>
      <c r="G132" s="4" t="s">
        <v>19</v>
      </c>
      <c r="H132" s="8">
        <v>1</v>
      </c>
      <c r="I132" s="33">
        <v>899.99</v>
      </c>
      <c r="J132" s="4" t="s">
        <v>34</v>
      </c>
      <c r="K132" s="4" t="s">
        <v>40</v>
      </c>
      <c r="L132" s="4" t="s">
        <v>27</v>
      </c>
      <c r="M132" s="5">
        <v>45050</v>
      </c>
      <c r="N132" s="33">
        <v>899.99</v>
      </c>
    </row>
    <row r="133" spans="1:14" ht="14.5">
      <c r="A133" s="4" t="s">
        <v>335</v>
      </c>
      <c r="B133" s="5">
        <v>45670</v>
      </c>
      <c r="C133" s="4" t="s">
        <v>86</v>
      </c>
      <c r="D133" s="4" t="s">
        <v>87</v>
      </c>
      <c r="E133" s="4" t="s">
        <v>105</v>
      </c>
      <c r="F133" s="4" t="s">
        <v>106</v>
      </c>
      <c r="G133" s="4" t="s">
        <v>46</v>
      </c>
      <c r="H133" s="8">
        <v>1</v>
      </c>
      <c r="I133" s="33">
        <v>299.99</v>
      </c>
      <c r="J133" s="4" t="s">
        <v>26</v>
      </c>
      <c r="K133" s="4" t="s">
        <v>40</v>
      </c>
      <c r="L133" s="4" t="s">
        <v>22</v>
      </c>
      <c r="M133" s="5">
        <v>44436</v>
      </c>
      <c r="N133" s="33">
        <v>299.99</v>
      </c>
    </row>
    <row r="134" spans="1:14" ht="14.5">
      <c r="A134" s="4" t="s">
        <v>346</v>
      </c>
      <c r="B134" s="5">
        <v>45686</v>
      </c>
      <c r="C134" s="4" t="s">
        <v>86</v>
      </c>
      <c r="D134" s="4" t="s">
        <v>87</v>
      </c>
      <c r="E134" s="4" t="s">
        <v>105</v>
      </c>
      <c r="F134" s="4" t="s">
        <v>106</v>
      </c>
      <c r="G134" s="4" t="s">
        <v>46</v>
      </c>
      <c r="H134" s="8">
        <v>3</v>
      </c>
      <c r="I134" s="33">
        <v>299.99</v>
      </c>
      <c r="J134" s="4" t="s">
        <v>57</v>
      </c>
      <c r="K134" s="4" t="s">
        <v>50</v>
      </c>
      <c r="L134" s="4" t="s">
        <v>36</v>
      </c>
      <c r="M134" s="5">
        <v>44952</v>
      </c>
      <c r="N134" s="33">
        <v>899.97</v>
      </c>
    </row>
    <row r="135" spans="1:14" ht="14.5">
      <c r="A135" s="4" t="s">
        <v>64</v>
      </c>
      <c r="B135" s="5">
        <v>45408</v>
      </c>
      <c r="C135" s="4" t="s">
        <v>65</v>
      </c>
      <c r="D135" s="4" t="s">
        <v>66</v>
      </c>
      <c r="E135" s="4" t="s">
        <v>31</v>
      </c>
      <c r="F135" s="4" t="s">
        <v>32</v>
      </c>
      <c r="G135" s="4" t="s">
        <v>33</v>
      </c>
      <c r="H135" s="8">
        <v>3</v>
      </c>
      <c r="I135" s="33">
        <v>59.99</v>
      </c>
      <c r="J135" s="4" t="s">
        <v>20</v>
      </c>
      <c r="K135" s="4" t="s">
        <v>50</v>
      </c>
      <c r="L135" s="4" t="s">
        <v>27</v>
      </c>
      <c r="M135" s="5">
        <v>45207</v>
      </c>
      <c r="N135" s="33">
        <v>179.97</v>
      </c>
    </row>
    <row r="136" spans="1:14" ht="14.5">
      <c r="A136" s="4" t="s">
        <v>199</v>
      </c>
      <c r="B136" s="5">
        <v>45491</v>
      </c>
      <c r="C136" s="4" t="s">
        <v>65</v>
      </c>
      <c r="D136" s="4" t="s">
        <v>66</v>
      </c>
      <c r="E136" s="4" t="s">
        <v>126</v>
      </c>
      <c r="F136" s="4" t="s">
        <v>127</v>
      </c>
      <c r="G136" s="4" t="s">
        <v>46</v>
      </c>
      <c r="H136" s="8">
        <v>3</v>
      </c>
      <c r="I136" s="33">
        <v>199.99</v>
      </c>
      <c r="J136" s="4" t="s">
        <v>20</v>
      </c>
      <c r="K136" s="4" t="s">
        <v>40</v>
      </c>
      <c r="L136" s="4" t="s">
        <v>27</v>
      </c>
      <c r="M136" s="5">
        <v>45254</v>
      </c>
      <c r="N136" s="33">
        <v>599.97</v>
      </c>
    </row>
    <row r="137" spans="1:14" ht="14.5">
      <c r="A137" s="4" t="s">
        <v>218</v>
      </c>
      <c r="B137" s="5">
        <v>45517</v>
      </c>
      <c r="C137" s="4" t="s">
        <v>65</v>
      </c>
      <c r="D137" s="4" t="s">
        <v>66</v>
      </c>
      <c r="E137" s="4" t="s">
        <v>17</v>
      </c>
      <c r="F137" s="4" t="s">
        <v>18</v>
      </c>
      <c r="G137" s="4" t="s">
        <v>19</v>
      </c>
      <c r="H137" s="8">
        <v>3</v>
      </c>
      <c r="I137" s="33">
        <v>249.99</v>
      </c>
      <c r="J137" s="4" t="s">
        <v>34</v>
      </c>
      <c r="K137" s="4" t="s">
        <v>40</v>
      </c>
      <c r="L137" s="4" t="s">
        <v>27</v>
      </c>
      <c r="M137" s="5">
        <v>44465</v>
      </c>
      <c r="N137" s="33">
        <v>749.97</v>
      </c>
    </row>
    <row r="138" spans="1:14" ht="14.5">
      <c r="A138" s="4" t="s">
        <v>248</v>
      </c>
      <c r="B138" s="5">
        <v>45551</v>
      </c>
      <c r="C138" s="4" t="s">
        <v>65</v>
      </c>
      <c r="D138" s="4" t="s">
        <v>66</v>
      </c>
      <c r="E138" s="4" t="s">
        <v>17</v>
      </c>
      <c r="F138" s="4" t="s">
        <v>18</v>
      </c>
      <c r="G138" s="4" t="s">
        <v>19</v>
      </c>
      <c r="H138" s="8">
        <v>2</v>
      </c>
      <c r="I138" s="33">
        <v>249.99</v>
      </c>
      <c r="J138" s="4" t="s">
        <v>34</v>
      </c>
      <c r="K138" s="4" t="s">
        <v>35</v>
      </c>
      <c r="L138" s="4" t="s">
        <v>22</v>
      </c>
      <c r="M138" s="5">
        <v>44993</v>
      </c>
      <c r="N138" s="33">
        <v>499.98</v>
      </c>
    </row>
    <row r="139" spans="1:14" ht="14.5">
      <c r="A139" s="4" t="s">
        <v>278</v>
      </c>
      <c r="B139" s="5">
        <v>45600</v>
      </c>
      <c r="C139" s="4" t="s">
        <v>65</v>
      </c>
      <c r="D139" s="4" t="s">
        <v>66</v>
      </c>
      <c r="E139" s="4" t="s">
        <v>105</v>
      </c>
      <c r="F139" s="4" t="s">
        <v>106</v>
      </c>
      <c r="G139" s="4" t="s">
        <v>46</v>
      </c>
      <c r="H139" s="8">
        <v>3</v>
      </c>
      <c r="I139" s="33">
        <v>299.99</v>
      </c>
      <c r="J139" s="4" t="s">
        <v>26</v>
      </c>
      <c r="K139" s="4" t="s">
        <v>35</v>
      </c>
      <c r="L139" s="4" t="s">
        <v>36</v>
      </c>
      <c r="M139" s="5">
        <v>44502</v>
      </c>
      <c r="N139" s="33">
        <v>899.97</v>
      </c>
    </row>
    <row r="140" spans="1:14" ht="14.5">
      <c r="A140" s="4" t="s">
        <v>329</v>
      </c>
      <c r="B140" s="5">
        <v>45666</v>
      </c>
      <c r="C140" s="4" t="s">
        <v>65</v>
      </c>
      <c r="D140" s="4" t="s">
        <v>66</v>
      </c>
      <c r="E140" s="4" t="s">
        <v>80</v>
      </c>
      <c r="F140" s="4" t="s">
        <v>81</v>
      </c>
      <c r="G140" s="4" t="s">
        <v>19</v>
      </c>
      <c r="H140" s="8">
        <v>3</v>
      </c>
      <c r="I140" s="33">
        <v>699.99</v>
      </c>
      <c r="J140" s="4" t="s">
        <v>26</v>
      </c>
      <c r="K140" s="4" t="s">
        <v>21</v>
      </c>
      <c r="L140" s="4" t="s">
        <v>27</v>
      </c>
      <c r="M140" s="5">
        <v>45105</v>
      </c>
      <c r="N140" s="33">
        <v>2099.9699999999998</v>
      </c>
    </row>
    <row r="141" spans="1:14" ht="14.5">
      <c r="A141" s="4" t="s">
        <v>348</v>
      </c>
      <c r="B141" s="5">
        <v>45688</v>
      </c>
      <c r="C141" s="4" t="s">
        <v>65</v>
      </c>
      <c r="D141" s="4" t="s">
        <v>66</v>
      </c>
      <c r="E141" s="4" t="s">
        <v>80</v>
      </c>
      <c r="F141" s="4" t="s">
        <v>81</v>
      </c>
      <c r="G141" s="4" t="s">
        <v>19</v>
      </c>
      <c r="H141" s="8">
        <v>4</v>
      </c>
      <c r="I141" s="33">
        <v>699.99</v>
      </c>
      <c r="J141" s="4" t="s">
        <v>57</v>
      </c>
      <c r="K141" s="4" t="s">
        <v>50</v>
      </c>
      <c r="L141" s="4" t="s">
        <v>27</v>
      </c>
      <c r="M141" s="5">
        <v>44692</v>
      </c>
      <c r="N141" s="33">
        <v>2799.96</v>
      </c>
    </row>
    <row r="142" spans="1:14" ht="14.5">
      <c r="A142" s="4" t="s">
        <v>391</v>
      </c>
      <c r="B142" s="5">
        <v>45746</v>
      </c>
      <c r="C142" s="4" t="s">
        <v>65</v>
      </c>
      <c r="D142" s="4" t="s">
        <v>66</v>
      </c>
      <c r="E142" s="4" t="s">
        <v>117</v>
      </c>
      <c r="F142" s="4" t="s">
        <v>118</v>
      </c>
      <c r="G142" s="4" t="s">
        <v>19</v>
      </c>
      <c r="H142" s="8">
        <v>2</v>
      </c>
      <c r="I142" s="33">
        <v>89.99</v>
      </c>
      <c r="J142" s="4" t="s">
        <v>57</v>
      </c>
      <c r="K142" s="4" t="s">
        <v>50</v>
      </c>
      <c r="L142" s="4" t="s">
        <v>27</v>
      </c>
      <c r="M142" s="5">
        <v>44522</v>
      </c>
      <c r="N142" s="33">
        <v>179.98</v>
      </c>
    </row>
    <row r="143" spans="1:14" ht="14.5">
      <c r="A143" s="4" t="s">
        <v>82</v>
      </c>
      <c r="B143" s="5">
        <v>45409</v>
      </c>
      <c r="C143" s="4" t="s">
        <v>83</v>
      </c>
      <c r="D143" s="4" t="s">
        <v>84</v>
      </c>
      <c r="E143" s="4" t="s">
        <v>61</v>
      </c>
      <c r="F143" s="4" t="s">
        <v>62</v>
      </c>
      <c r="G143" s="4" t="s">
        <v>19</v>
      </c>
      <c r="H143" s="8">
        <v>1</v>
      </c>
      <c r="I143" s="33">
        <v>899.99</v>
      </c>
      <c r="J143" s="4" t="s">
        <v>57</v>
      </c>
      <c r="K143" s="4" t="s">
        <v>40</v>
      </c>
      <c r="L143" s="4" t="s">
        <v>36</v>
      </c>
      <c r="M143" s="5">
        <v>44920</v>
      </c>
      <c r="N143" s="33">
        <v>899.99</v>
      </c>
    </row>
    <row r="144" spans="1:14" ht="14.5">
      <c r="A144" s="4" t="s">
        <v>267</v>
      </c>
      <c r="B144" s="5">
        <v>45579</v>
      </c>
      <c r="C144" s="4" t="s">
        <v>83</v>
      </c>
      <c r="D144" s="4" t="s">
        <v>84</v>
      </c>
      <c r="E144" s="4" t="s">
        <v>61</v>
      </c>
      <c r="F144" s="4" t="s">
        <v>62</v>
      </c>
      <c r="G144" s="4" t="s">
        <v>19</v>
      </c>
      <c r="H144" s="8">
        <v>3</v>
      </c>
      <c r="I144" s="33">
        <v>899.99</v>
      </c>
      <c r="J144" s="4" t="s">
        <v>34</v>
      </c>
      <c r="K144" s="4" t="s">
        <v>50</v>
      </c>
      <c r="L144" s="4" t="s">
        <v>22</v>
      </c>
      <c r="M144" s="5">
        <v>45215</v>
      </c>
      <c r="N144" s="33">
        <v>2699.97</v>
      </c>
    </row>
    <row r="145" spans="1:14" ht="14.5">
      <c r="A145" s="4" t="s">
        <v>286</v>
      </c>
      <c r="B145" s="5">
        <v>45608</v>
      </c>
      <c r="C145" s="4" t="s">
        <v>83</v>
      </c>
      <c r="D145" s="4" t="s">
        <v>84</v>
      </c>
      <c r="E145" s="4" t="s">
        <v>31</v>
      </c>
      <c r="F145" s="4" t="s">
        <v>32</v>
      </c>
      <c r="G145" s="4" t="s">
        <v>33</v>
      </c>
      <c r="H145" s="8">
        <v>3</v>
      </c>
      <c r="I145" s="33">
        <v>59.99</v>
      </c>
      <c r="J145" s="4" t="s">
        <v>57</v>
      </c>
      <c r="K145" s="4" t="s">
        <v>35</v>
      </c>
      <c r="L145" s="4" t="s">
        <v>36</v>
      </c>
      <c r="M145" s="5">
        <v>45260</v>
      </c>
      <c r="N145" s="33">
        <v>179.97</v>
      </c>
    </row>
    <row r="146" spans="1:14" ht="14.5">
      <c r="A146" s="4" t="s">
        <v>157</v>
      </c>
      <c r="B146" s="5">
        <v>45449</v>
      </c>
      <c r="C146" s="4" t="s">
        <v>158</v>
      </c>
      <c r="D146" s="4" t="s">
        <v>159</v>
      </c>
      <c r="E146" s="4" t="s">
        <v>117</v>
      </c>
      <c r="F146" s="4" t="s">
        <v>118</v>
      </c>
      <c r="G146" s="4" t="s">
        <v>19</v>
      </c>
      <c r="H146" s="8">
        <v>1</v>
      </c>
      <c r="I146" s="33">
        <v>89.99</v>
      </c>
      <c r="J146" s="4" t="s">
        <v>26</v>
      </c>
      <c r="K146" s="4" t="s">
        <v>35</v>
      </c>
      <c r="L146" s="4" t="s">
        <v>36</v>
      </c>
      <c r="M146" s="5">
        <v>44582</v>
      </c>
      <c r="N146" s="33">
        <v>89.99</v>
      </c>
    </row>
    <row r="147" spans="1:14" ht="14.5">
      <c r="A147" s="4" t="s">
        <v>168</v>
      </c>
      <c r="B147" s="5">
        <v>45460</v>
      </c>
      <c r="C147" s="4" t="s">
        <v>158</v>
      </c>
      <c r="D147" s="4" t="s">
        <v>159</v>
      </c>
      <c r="E147" s="4" t="s">
        <v>31</v>
      </c>
      <c r="F147" s="4" t="s">
        <v>32</v>
      </c>
      <c r="G147" s="4" t="s">
        <v>33</v>
      </c>
      <c r="H147" s="8">
        <v>1</v>
      </c>
      <c r="I147" s="33">
        <v>59.99</v>
      </c>
      <c r="J147" s="4" t="s">
        <v>57</v>
      </c>
      <c r="K147" s="4" t="s">
        <v>50</v>
      </c>
      <c r="L147" s="4" t="s">
        <v>27</v>
      </c>
      <c r="M147" s="5">
        <v>45190</v>
      </c>
      <c r="N147" s="33">
        <v>59.99</v>
      </c>
    </row>
    <row r="148" spans="1:14" ht="14.5">
      <c r="A148" s="4" t="s">
        <v>220</v>
      </c>
      <c r="B148" s="5">
        <v>45519</v>
      </c>
      <c r="C148" s="4" t="s">
        <v>158</v>
      </c>
      <c r="D148" s="4" t="s">
        <v>159</v>
      </c>
      <c r="E148" s="4" t="s">
        <v>126</v>
      </c>
      <c r="F148" s="4" t="s">
        <v>127</v>
      </c>
      <c r="G148" s="4" t="s">
        <v>46</v>
      </c>
      <c r="H148" s="8">
        <v>5</v>
      </c>
      <c r="I148" s="33">
        <v>199.99</v>
      </c>
      <c r="J148" s="4" t="s">
        <v>20</v>
      </c>
      <c r="K148" s="4" t="s">
        <v>40</v>
      </c>
      <c r="L148" s="4" t="s">
        <v>27</v>
      </c>
      <c r="M148" s="5">
        <v>44991</v>
      </c>
      <c r="N148" s="33">
        <v>999.95</v>
      </c>
    </row>
    <row r="149" spans="1:14" ht="14.5">
      <c r="A149" s="4" t="s">
        <v>275</v>
      </c>
      <c r="B149" s="5">
        <v>45589</v>
      </c>
      <c r="C149" s="4" t="s">
        <v>158</v>
      </c>
      <c r="D149" s="4" t="s">
        <v>159</v>
      </c>
      <c r="E149" s="4" t="s">
        <v>80</v>
      </c>
      <c r="F149" s="4" t="s">
        <v>81</v>
      </c>
      <c r="G149" s="4" t="s">
        <v>19</v>
      </c>
      <c r="H149" s="8">
        <v>5</v>
      </c>
      <c r="I149" s="33">
        <v>699.99</v>
      </c>
      <c r="J149" s="4" t="s">
        <v>20</v>
      </c>
      <c r="K149" s="4" t="s">
        <v>40</v>
      </c>
      <c r="L149" s="4" t="s">
        <v>27</v>
      </c>
      <c r="M149" s="5">
        <v>44635</v>
      </c>
      <c r="N149" s="33">
        <v>3499.95</v>
      </c>
    </row>
    <row r="150" spans="1:14" ht="14.5">
      <c r="A150" s="4" t="s">
        <v>336</v>
      </c>
      <c r="B150" s="5">
        <v>45671</v>
      </c>
      <c r="C150" s="4" t="s">
        <v>158</v>
      </c>
      <c r="D150" s="4" t="s">
        <v>159</v>
      </c>
      <c r="E150" s="4" t="s">
        <v>17</v>
      </c>
      <c r="F150" s="4" t="s">
        <v>18</v>
      </c>
      <c r="G150" s="4" t="s">
        <v>19</v>
      </c>
      <c r="H150" s="8">
        <v>4</v>
      </c>
      <c r="I150" s="33">
        <v>249.99</v>
      </c>
      <c r="J150" s="4" t="s">
        <v>26</v>
      </c>
      <c r="K150" s="4" t="s">
        <v>40</v>
      </c>
      <c r="L150" s="4" t="s">
        <v>27</v>
      </c>
      <c r="M150" s="5">
        <v>44460</v>
      </c>
      <c r="N150" s="33">
        <v>999.96</v>
      </c>
    </row>
    <row r="151" spans="1:14" ht="14.5">
      <c r="A151" s="4" t="s">
        <v>122</v>
      </c>
      <c r="B151" s="5">
        <v>45427</v>
      </c>
      <c r="C151" s="4" t="s">
        <v>123</v>
      </c>
      <c r="D151" s="4" t="s">
        <v>124</v>
      </c>
      <c r="E151" s="4" t="s">
        <v>31</v>
      </c>
      <c r="F151" s="4" t="s">
        <v>32</v>
      </c>
      <c r="G151" s="4" t="s">
        <v>33</v>
      </c>
      <c r="H151" s="8">
        <v>4</v>
      </c>
      <c r="I151" s="33">
        <v>59.99</v>
      </c>
      <c r="J151" s="4" t="s">
        <v>57</v>
      </c>
      <c r="K151" s="4" t="s">
        <v>63</v>
      </c>
      <c r="L151" s="4" t="s">
        <v>36</v>
      </c>
      <c r="M151" s="5">
        <v>44867</v>
      </c>
      <c r="N151" s="33">
        <v>239.96</v>
      </c>
    </row>
    <row r="152" spans="1:14" ht="14.5">
      <c r="A152" s="4" t="s">
        <v>167</v>
      </c>
      <c r="B152" s="5">
        <v>45459</v>
      </c>
      <c r="C152" s="4" t="s">
        <v>123</v>
      </c>
      <c r="D152" s="4" t="s">
        <v>124</v>
      </c>
      <c r="E152" s="4" t="s">
        <v>61</v>
      </c>
      <c r="F152" s="4" t="s">
        <v>62</v>
      </c>
      <c r="G152" s="4" t="s">
        <v>19</v>
      </c>
      <c r="H152" s="8">
        <v>5</v>
      </c>
      <c r="I152" s="33">
        <v>899.99</v>
      </c>
      <c r="J152" s="4" t="s">
        <v>34</v>
      </c>
      <c r="K152" s="4" t="s">
        <v>63</v>
      </c>
      <c r="L152" s="4" t="s">
        <v>27</v>
      </c>
      <c r="M152" s="5">
        <v>45278</v>
      </c>
      <c r="N152" s="33">
        <v>4499.95</v>
      </c>
    </row>
    <row r="153" spans="1:14" ht="14.5">
      <c r="A153" s="4" t="s">
        <v>289</v>
      </c>
      <c r="B153" s="5">
        <v>45617</v>
      </c>
      <c r="C153" s="4" t="s">
        <v>123</v>
      </c>
      <c r="D153" s="4" t="s">
        <v>124</v>
      </c>
      <c r="E153" s="4" t="s">
        <v>126</v>
      </c>
      <c r="F153" s="4" t="s">
        <v>127</v>
      </c>
      <c r="G153" s="4" t="s">
        <v>46</v>
      </c>
      <c r="H153" s="8">
        <v>4</v>
      </c>
      <c r="I153" s="33">
        <v>199.99</v>
      </c>
      <c r="J153" s="4" t="s">
        <v>57</v>
      </c>
      <c r="K153" s="4" t="s">
        <v>21</v>
      </c>
      <c r="L153" s="4" t="s">
        <v>27</v>
      </c>
      <c r="M153" s="5">
        <v>44427</v>
      </c>
      <c r="N153" s="33">
        <v>799.96</v>
      </c>
    </row>
    <row r="154" spans="1:14" ht="14.5">
      <c r="A154" s="4" t="s">
        <v>349</v>
      </c>
      <c r="B154" s="5">
        <v>45688</v>
      </c>
      <c r="C154" s="4" t="s">
        <v>123</v>
      </c>
      <c r="D154" s="4" t="s">
        <v>124</v>
      </c>
      <c r="E154" s="4" t="s">
        <v>117</v>
      </c>
      <c r="F154" s="4" t="s">
        <v>118</v>
      </c>
      <c r="G154" s="4" t="s">
        <v>19</v>
      </c>
      <c r="H154" s="8">
        <v>2</v>
      </c>
      <c r="I154" s="33">
        <v>89.99</v>
      </c>
      <c r="J154" s="4" t="s">
        <v>57</v>
      </c>
      <c r="K154" s="4" t="s">
        <v>35</v>
      </c>
      <c r="L154" s="4" t="s">
        <v>22</v>
      </c>
      <c r="M154" s="5">
        <v>44777</v>
      </c>
      <c r="N154" s="33">
        <v>179.98</v>
      </c>
    </row>
    <row r="155" spans="1:14" ht="14.5">
      <c r="A155" s="4" t="s">
        <v>359</v>
      </c>
      <c r="B155" s="5">
        <v>45707</v>
      </c>
      <c r="C155" s="4" t="s">
        <v>123</v>
      </c>
      <c r="D155" s="4" t="s">
        <v>124</v>
      </c>
      <c r="E155" s="4" t="s">
        <v>80</v>
      </c>
      <c r="F155" s="4" t="s">
        <v>81</v>
      </c>
      <c r="G155" s="4" t="s">
        <v>19</v>
      </c>
      <c r="H155" s="8">
        <v>5</v>
      </c>
      <c r="I155" s="33">
        <v>699.99</v>
      </c>
      <c r="J155" s="4" t="s">
        <v>34</v>
      </c>
      <c r="K155" s="4" t="s">
        <v>35</v>
      </c>
      <c r="L155" s="4" t="s">
        <v>27</v>
      </c>
      <c r="M155" s="5">
        <v>45352</v>
      </c>
      <c r="N155" s="33">
        <v>3499.95</v>
      </c>
    </row>
    <row r="156" spans="1:14" ht="14.5">
      <c r="A156" s="4" t="s">
        <v>393</v>
      </c>
      <c r="B156" s="5">
        <v>45749</v>
      </c>
      <c r="C156" s="4" t="s">
        <v>123</v>
      </c>
      <c r="D156" s="4" t="s">
        <v>124</v>
      </c>
      <c r="E156" s="4" t="s">
        <v>61</v>
      </c>
      <c r="F156" s="4" t="s">
        <v>62</v>
      </c>
      <c r="G156" s="4" t="s">
        <v>19</v>
      </c>
      <c r="H156" s="8">
        <v>3</v>
      </c>
      <c r="I156" s="33">
        <v>899.99</v>
      </c>
      <c r="J156" s="4" t="s">
        <v>20</v>
      </c>
      <c r="K156" s="4" t="s">
        <v>21</v>
      </c>
      <c r="L156" s="4" t="s">
        <v>36</v>
      </c>
      <c r="M156" s="5">
        <v>44953</v>
      </c>
      <c r="N156" s="33">
        <v>2699.97</v>
      </c>
    </row>
    <row r="157" spans="1:14" ht="14.5">
      <c r="A157" s="4" t="s">
        <v>119</v>
      </c>
      <c r="B157" s="5">
        <v>45425</v>
      </c>
      <c r="C157" s="4" t="s">
        <v>120</v>
      </c>
      <c r="D157" s="4" t="s">
        <v>121</v>
      </c>
      <c r="E157" s="4" t="s">
        <v>31</v>
      </c>
      <c r="F157" s="4" t="s">
        <v>32</v>
      </c>
      <c r="G157" s="4" t="s">
        <v>33</v>
      </c>
      <c r="H157" s="8">
        <v>2</v>
      </c>
      <c r="I157" s="33">
        <v>59.99</v>
      </c>
      <c r="J157" s="4" t="s">
        <v>57</v>
      </c>
      <c r="K157" s="4" t="s">
        <v>21</v>
      </c>
      <c r="L157" s="4" t="s">
        <v>36</v>
      </c>
      <c r="M157" s="5">
        <v>45214</v>
      </c>
      <c r="N157" s="33">
        <v>119.98</v>
      </c>
    </row>
    <row r="158" spans="1:14" ht="14.5">
      <c r="A158" s="4" t="s">
        <v>177</v>
      </c>
      <c r="B158" s="5">
        <v>45472</v>
      </c>
      <c r="C158" s="4" t="s">
        <v>120</v>
      </c>
      <c r="D158" s="4" t="s">
        <v>121</v>
      </c>
      <c r="E158" s="4" t="s">
        <v>44</v>
      </c>
      <c r="F158" s="4" t="s">
        <v>45</v>
      </c>
      <c r="G158" s="4" t="s">
        <v>46</v>
      </c>
      <c r="H158" s="8">
        <v>1</v>
      </c>
      <c r="I158" s="33">
        <v>149.99</v>
      </c>
      <c r="J158" s="4" t="s">
        <v>34</v>
      </c>
      <c r="K158" s="4" t="s">
        <v>63</v>
      </c>
      <c r="L158" s="4" t="s">
        <v>22</v>
      </c>
      <c r="M158" s="5">
        <v>44851</v>
      </c>
      <c r="N158" s="33">
        <v>149.99</v>
      </c>
    </row>
    <row r="159" spans="1:14" ht="14.5">
      <c r="A159" s="4" t="s">
        <v>209</v>
      </c>
      <c r="B159" s="5">
        <v>45504</v>
      </c>
      <c r="C159" s="4" t="s">
        <v>120</v>
      </c>
      <c r="D159" s="4" t="s">
        <v>121</v>
      </c>
      <c r="E159" s="4" t="s">
        <v>61</v>
      </c>
      <c r="F159" s="4" t="s">
        <v>62</v>
      </c>
      <c r="G159" s="4" t="s">
        <v>19</v>
      </c>
      <c r="H159" s="8">
        <v>4</v>
      </c>
      <c r="I159" s="33">
        <v>899.99</v>
      </c>
      <c r="J159" s="4" t="s">
        <v>57</v>
      </c>
      <c r="K159" s="4" t="s">
        <v>35</v>
      </c>
      <c r="L159" s="4" t="s">
        <v>36</v>
      </c>
      <c r="M159" s="5">
        <v>44523</v>
      </c>
      <c r="N159" s="33">
        <v>3599.96</v>
      </c>
    </row>
    <row r="160" spans="1:14" ht="14.5">
      <c r="A160" s="4" t="s">
        <v>307</v>
      </c>
      <c r="B160" s="5">
        <v>45636</v>
      </c>
      <c r="C160" s="4" t="s">
        <v>120</v>
      </c>
      <c r="D160" s="4" t="s">
        <v>121</v>
      </c>
      <c r="E160" s="4" t="s">
        <v>114</v>
      </c>
      <c r="F160" s="4" t="s">
        <v>115</v>
      </c>
      <c r="G160" s="4" t="s">
        <v>33</v>
      </c>
      <c r="H160" s="8">
        <v>3</v>
      </c>
      <c r="I160" s="33">
        <v>79.989999999999995</v>
      </c>
      <c r="J160" s="4" t="s">
        <v>57</v>
      </c>
      <c r="K160" s="4" t="s">
        <v>63</v>
      </c>
      <c r="L160" s="4" t="s">
        <v>36</v>
      </c>
      <c r="M160" s="5">
        <v>44779</v>
      </c>
      <c r="N160" s="33">
        <v>239.97</v>
      </c>
    </row>
    <row r="161" spans="1:14" ht="14.5">
      <c r="A161" s="4" t="s">
        <v>319</v>
      </c>
      <c r="B161" s="5">
        <v>45654</v>
      </c>
      <c r="C161" s="4" t="s">
        <v>120</v>
      </c>
      <c r="D161" s="4" t="s">
        <v>121</v>
      </c>
      <c r="E161" s="4" t="s">
        <v>126</v>
      </c>
      <c r="F161" s="4" t="s">
        <v>127</v>
      </c>
      <c r="G161" s="4" t="s">
        <v>46</v>
      </c>
      <c r="H161" s="8">
        <v>4</v>
      </c>
      <c r="I161" s="33">
        <v>199.99</v>
      </c>
      <c r="J161" s="4" t="s">
        <v>26</v>
      </c>
      <c r="K161" s="4" t="s">
        <v>21</v>
      </c>
      <c r="L161" s="4" t="s">
        <v>22</v>
      </c>
      <c r="M161" s="5">
        <v>44523</v>
      </c>
      <c r="N161" s="33">
        <v>799.96</v>
      </c>
    </row>
    <row r="162" spans="1:14" ht="14.5">
      <c r="A162" s="4" t="s">
        <v>337</v>
      </c>
      <c r="B162" s="5">
        <v>45671</v>
      </c>
      <c r="C162" s="4" t="s">
        <v>120</v>
      </c>
      <c r="D162" s="4" t="s">
        <v>121</v>
      </c>
      <c r="E162" s="4" t="s">
        <v>52</v>
      </c>
      <c r="F162" s="4" t="s">
        <v>53</v>
      </c>
      <c r="G162" s="4" t="s">
        <v>19</v>
      </c>
      <c r="H162" s="8">
        <v>2</v>
      </c>
      <c r="I162" s="33">
        <v>149.99</v>
      </c>
      <c r="J162" s="4" t="s">
        <v>20</v>
      </c>
      <c r="K162" s="4" t="s">
        <v>40</v>
      </c>
      <c r="L162" s="4" t="s">
        <v>36</v>
      </c>
      <c r="M162" s="5">
        <v>44913</v>
      </c>
      <c r="N162" s="33">
        <v>299.98</v>
      </c>
    </row>
    <row r="163" spans="1:14" ht="14.5">
      <c r="A163" s="4" t="s">
        <v>375</v>
      </c>
      <c r="B163" s="5">
        <v>45723</v>
      </c>
      <c r="C163" s="4" t="s">
        <v>120</v>
      </c>
      <c r="D163" s="4" t="s">
        <v>121</v>
      </c>
      <c r="E163" s="4" t="s">
        <v>17</v>
      </c>
      <c r="F163" s="4" t="s">
        <v>18</v>
      </c>
      <c r="G163" s="4" t="s">
        <v>19</v>
      </c>
      <c r="H163" s="8">
        <v>5</v>
      </c>
      <c r="I163" s="33">
        <v>249.99</v>
      </c>
      <c r="J163" s="4" t="s">
        <v>20</v>
      </c>
      <c r="K163" s="4" t="s">
        <v>63</v>
      </c>
      <c r="L163" s="4" t="s">
        <v>36</v>
      </c>
      <c r="M163" s="5">
        <v>44540</v>
      </c>
      <c r="N163" s="33">
        <v>1249.95</v>
      </c>
    </row>
    <row r="164" spans="1:14" ht="14.5">
      <c r="A164" s="4" t="s">
        <v>137</v>
      </c>
      <c r="B164" s="5">
        <v>45438</v>
      </c>
      <c r="C164" s="4" t="s">
        <v>138</v>
      </c>
      <c r="D164" s="4" t="s">
        <v>139</v>
      </c>
      <c r="E164" s="4" t="s">
        <v>126</v>
      </c>
      <c r="F164" s="4" t="s">
        <v>127</v>
      </c>
      <c r="G164" s="4" t="s">
        <v>46</v>
      </c>
      <c r="H164" s="8">
        <v>3</v>
      </c>
      <c r="I164" s="33">
        <v>199.99</v>
      </c>
      <c r="J164" s="4" t="s">
        <v>26</v>
      </c>
      <c r="K164" s="4" t="s">
        <v>40</v>
      </c>
      <c r="L164" s="4" t="s">
        <v>27</v>
      </c>
      <c r="M164" s="5">
        <v>45292</v>
      </c>
      <c r="N164" s="33">
        <v>599.97</v>
      </c>
    </row>
    <row r="165" spans="1:14" ht="14.5">
      <c r="A165" s="4" t="s">
        <v>239</v>
      </c>
      <c r="B165" s="5">
        <v>45541</v>
      </c>
      <c r="C165" s="4" t="s">
        <v>138</v>
      </c>
      <c r="D165" s="4" t="s">
        <v>139</v>
      </c>
      <c r="E165" s="4" t="s">
        <v>31</v>
      </c>
      <c r="F165" s="4" t="s">
        <v>32</v>
      </c>
      <c r="G165" s="4" t="s">
        <v>33</v>
      </c>
      <c r="H165" s="8">
        <v>3</v>
      </c>
      <c r="I165" s="33">
        <v>59.99</v>
      </c>
      <c r="J165" s="4" t="s">
        <v>26</v>
      </c>
      <c r="K165" s="4" t="s">
        <v>21</v>
      </c>
      <c r="L165" s="4" t="s">
        <v>27</v>
      </c>
      <c r="M165" s="5">
        <v>44717</v>
      </c>
      <c r="N165" s="33">
        <v>179.97</v>
      </c>
    </row>
    <row r="166" spans="1:14" ht="14.5">
      <c r="A166" s="4" t="s">
        <v>310</v>
      </c>
      <c r="B166" s="5">
        <v>45641</v>
      </c>
      <c r="C166" s="4" t="s">
        <v>138</v>
      </c>
      <c r="D166" s="4" t="s">
        <v>139</v>
      </c>
      <c r="E166" s="4" t="s">
        <v>105</v>
      </c>
      <c r="F166" s="4" t="s">
        <v>106</v>
      </c>
      <c r="G166" s="4" t="s">
        <v>46</v>
      </c>
      <c r="H166" s="8">
        <v>2</v>
      </c>
      <c r="I166" s="33">
        <v>299.99</v>
      </c>
      <c r="J166" s="4" t="s">
        <v>20</v>
      </c>
      <c r="K166" s="4" t="s">
        <v>63</v>
      </c>
      <c r="L166" s="4" t="s">
        <v>27</v>
      </c>
      <c r="M166" s="5">
        <v>44724</v>
      </c>
      <c r="N166" s="33">
        <v>599.98</v>
      </c>
    </row>
    <row r="167" spans="1:14" ht="14.5">
      <c r="A167" s="4" t="s">
        <v>332</v>
      </c>
      <c r="B167" s="5">
        <v>45668</v>
      </c>
      <c r="C167" s="4" t="s">
        <v>138</v>
      </c>
      <c r="D167" s="4" t="s">
        <v>139</v>
      </c>
      <c r="E167" s="4" t="s">
        <v>52</v>
      </c>
      <c r="F167" s="4" t="s">
        <v>53</v>
      </c>
      <c r="G167" s="4" t="s">
        <v>19</v>
      </c>
      <c r="H167" s="8">
        <v>4</v>
      </c>
      <c r="I167" s="33">
        <v>149.99</v>
      </c>
      <c r="J167" s="4" t="s">
        <v>57</v>
      </c>
      <c r="K167" s="4" t="s">
        <v>63</v>
      </c>
      <c r="L167" s="4" t="s">
        <v>36</v>
      </c>
      <c r="M167" s="5">
        <v>44536</v>
      </c>
      <c r="N167" s="33">
        <v>599.96</v>
      </c>
    </row>
    <row r="168" spans="1:14" ht="14.5">
      <c r="A168" s="4" t="s">
        <v>368</v>
      </c>
      <c r="B168" s="5">
        <v>45712</v>
      </c>
      <c r="C168" s="4" t="s">
        <v>138</v>
      </c>
      <c r="D168" s="4" t="s">
        <v>139</v>
      </c>
      <c r="E168" s="4" t="s">
        <v>126</v>
      </c>
      <c r="F168" s="4" t="s">
        <v>127</v>
      </c>
      <c r="G168" s="4" t="s">
        <v>46</v>
      </c>
      <c r="H168" s="8">
        <v>2</v>
      </c>
      <c r="I168" s="33">
        <v>199.99</v>
      </c>
      <c r="J168" s="4" t="s">
        <v>20</v>
      </c>
      <c r="K168" s="4" t="s">
        <v>21</v>
      </c>
      <c r="L168" s="4" t="s">
        <v>27</v>
      </c>
      <c r="M168" s="5">
        <v>44573</v>
      </c>
      <c r="N168" s="33">
        <v>399.98</v>
      </c>
    </row>
    <row r="169" spans="1:14" ht="14.5">
      <c r="A169" s="4" t="s">
        <v>398</v>
      </c>
      <c r="B169" s="5">
        <v>45758</v>
      </c>
      <c r="C169" s="4" t="s">
        <v>138</v>
      </c>
      <c r="D169" s="4" t="s">
        <v>139</v>
      </c>
      <c r="E169" s="4" t="s">
        <v>117</v>
      </c>
      <c r="F169" s="4" t="s">
        <v>118</v>
      </c>
      <c r="G169" s="4" t="s">
        <v>19</v>
      </c>
      <c r="H169" s="8">
        <v>3</v>
      </c>
      <c r="I169" s="33">
        <v>89.99</v>
      </c>
      <c r="J169" s="4" t="s">
        <v>57</v>
      </c>
      <c r="K169" s="4" t="s">
        <v>40</v>
      </c>
      <c r="L169" s="4" t="s">
        <v>27</v>
      </c>
      <c r="M169" s="5">
        <v>44878</v>
      </c>
      <c r="N169" s="33">
        <v>269.97000000000003</v>
      </c>
    </row>
    <row r="170" spans="1:14" ht="14.5">
      <c r="A170" s="4" t="s">
        <v>233</v>
      </c>
      <c r="B170" s="5">
        <v>45534</v>
      </c>
      <c r="C170" s="4" t="s">
        <v>234</v>
      </c>
      <c r="D170" s="4" t="s">
        <v>235</v>
      </c>
      <c r="E170" s="4" t="s">
        <v>80</v>
      </c>
      <c r="F170" s="4" t="s">
        <v>81</v>
      </c>
      <c r="G170" s="4" t="s">
        <v>19</v>
      </c>
      <c r="H170" s="8">
        <v>2</v>
      </c>
      <c r="I170" s="33">
        <v>699.99</v>
      </c>
      <c r="J170" s="4" t="s">
        <v>26</v>
      </c>
      <c r="K170" s="4" t="s">
        <v>40</v>
      </c>
      <c r="L170" s="4" t="s">
        <v>27</v>
      </c>
      <c r="M170" s="5">
        <v>44421</v>
      </c>
      <c r="N170" s="33">
        <v>1399.98</v>
      </c>
    </row>
    <row r="171" spans="1:14" ht="14.5">
      <c r="A171" s="4" t="s">
        <v>255</v>
      </c>
      <c r="B171" s="5">
        <v>45559</v>
      </c>
      <c r="C171" s="4" t="s">
        <v>234</v>
      </c>
      <c r="D171" s="4" t="s">
        <v>235</v>
      </c>
      <c r="E171" s="4" t="s">
        <v>61</v>
      </c>
      <c r="F171" s="4" t="s">
        <v>62</v>
      </c>
      <c r="G171" s="4" t="s">
        <v>19</v>
      </c>
      <c r="H171" s="8">
        <v>3</v>
      </c>
      <c r="I171" s="33">
        <v>899.99</v>
      </c>
      <c r="J171" s="4" t="s">
        <v>26</v>
      </c>
      <c r="K171" s="4" t="s">
        <v>40</v>
      </c>
      <c r="L171" s="4" t="s">
        <v>36</v>
      </c>
      <c r="M171" s="5">
        <v>45157</v>
      </c>
      <c r="N171" s="33">
        <v>2699.97</v>
      </c>
    </row>
    <row r="172" spans="1:14" ht="14.5">
      <c r="A172" s="4" t="s">
        <v>263</v>
      </c>
      <c r="B172" s="5">
        <v>45572</v>
      </c>
      <c r="C172" s="4" t="s">
        <v>234</v>
      </c>
      <c r="D172" s="4" t="s">
        <v>235</v>
      </c>
      <c r="E172" s="4" t="s">
        <v>52</v>
      </c>
      <c r="F172" s="4" t="s">
        <v>53</v>
      </c>
      <c r="G172" s="4" t="s">
        <v>19</v>
      </c>
      <c r="H172" s="8">
        <v>4</v>
      </c>
      <c r="I172" s="33">
        <v>149.99</v>
      </c>
      <c r="J172" s="4" t="s">
        <v>26</v>
      </c>
      <c r="K172" s="4" t="s">
        <v>40</v>
      </c>
      <c r="L172" s="4" t="s">
        <v>27</v>
      </c>
      <c r="M172" s="5">
        <v>45076</v>
      </c>
      <c r="N172" s="33">
        <v>599.96</v>
      </c>
    </row>
    <row r="173" spans="1:14" ht="14.5">
      <c r="A173" s="4" t="s">
        <v>287</v>
      </c>
      <c r="B173" s="5">
        <v>45613</v>
      </c>
      <c r="C173" s="4" t="s">
        <v>234</v>
      </c>
      <c r="D173" s="4" t="s">
        <v>235</v>
      </c>
      <c r="E173" s="4" t="s">
        <v>44</v>
      </c>
      <c r="F173" s="4" t="s">
        <v>45</v>
      </c>
      <c r="G173" s="4" t="s">
        <v>46</v>
      </c>
      <c r="H173" s="8">
        <v>5</v>
      </c>
      <c r="I173" s="33">
        <v>149.99</v>
      </c>
      <c r="J173" s="4" t="s">
        <v>20</v>
      </c>
      <c r="K173" s="4" t="s">
        <v>40</v>
      </c>
      <c r="L173" s="4" t="s">
        <v>22</v>
      </c>
      <c r="M173" s="5">
        <v>44869</v>
      </c>
      <c r="N173" s="33">
        <v>749.95</v>
      </c>
    </row>
    <row r="174" spans="1:14" ht="14.5">
      <c r="A174" s="4" t="s">
        <v>338</v>
      </c>
      <c r="B174" s="5">
        <v>45671</v>
      </c>
      <c r="C174" s="4" t="s">
        <v>234</v>
      </c>
      <c r="D174" s="4" t="s">
        <v>235</v>
      </c>
      <c r="E174" s="4" t="s">
        <v>105</v>
      </c>
      <c r="F174" s="4" t="s">
        <v>106</v>
      </c>
      <c r="G174" s="4" t="s">
        <v>46</v>
      </c>
      <c r="H174" s="8">
        <v>3</v>
      </c>
      <c r="I174" s="33">
        <v>299.99</v>
      </c>
      <c r="J174" s="4" t="s">
        <v>26</v>
      </c>
      <c r="K174" s="4" t="s">
        <v>35</v>
      </c>
      <c r="L174" s="4" t="s">
        <v>22</v>
      </c>
      <c r="M174" s="5">
        <v>45204</v>
      </c>
      <c r="N174" s="33">
        <v>899.97</v>
      </c>
    </row>
    <row r="175" spans="1:14" ht="14.5">
      <c r="A175" s="4" t="s">
        <v>191</v>
      </c>
      <c r="B175" s="5">
        <v>45484</v>
      </c>
      <c r="C175" s="4" t="s">
        <v>192</v>
      </c>
      <c r="D175" s="4" t="s">
        <v>193</v>
      </c>
      <c r="E175" s="4" t="s">
        <v>105</v>
      </c>
      <c r="F175" s="4" t="s">
        <v>106</v>
      </c>
      <c r="G175" s="4" t="s">
        <v>46</v>
      </c>
      <c r="H175" s="8">
        <v>1</v>
      </c>
      <c r="I175" s="33">
        <v>299.99</v>
      </c>
      <c r="J175" s="4" t="s">
        <v>26</v>
      </c>
      <c r="K175" s="4" t="s">
        <v>40</v>
      </c>
      <c r="L175" s="4" t="s">
        <v>27</v>
      </c>
      <c r="M175" s="5">
        <v>44891</v>
      </c>
      <c r="N175" s="33">
        <v>299.99</v>
      </c>
    </row>
    <row r="176" spans="1:14" ht="14.5">
      <c r="A176" s="4" t="s">
        <v>194</v>
      </c>
      <c r="B176" s="5">
        <v>45487</v>
      </c>
      <c r="C176" s="4" t="s">
        <v>192</v>
      </c>
      <c r="D176" s="4" t="s">
        <v>193</v>
      </c>
      <c r="E176" s="4" t="s">
        <v>126</v>
      </c>
      <c r="F176" s="4" t="s">
        <v>127</v>
      </c>
      <c r="G176" s="4" t="s">
        <v>46</v>
      </c>
      <c r="H176" s="8">
        <v>2</v>
      </c>
      <c r="I176" s="33">
        <v>199.99</v>
      </c>
      <c r="J176" s="4" t="s">
        <v>20</v>
      </c>
      <c r="K176" s="4" t="s">
        <v>40</v>
      </c>
      <c r="L176" s="4" t="s">
        <v>22</v>
      </c>
      <c r="M176" s="5">
        <v>44541</v>
      </c>
      <c r="N176" s="33">
        <v>399.98</v>
      </c>
    </row>
    <row r="177" spans="1:14" ht="14.5">
      <c r="A177" s="4" t="s">
        <v>290</v>
      </c>
      <c r="B177" s="5">
        <v>45619</v>
      </c>
      <c r="C177" s="4" t="s">
        <v>192</v>
      </c>
      <c r="D177" s="4" t="s">
        <v>193</v>
      </c>
      <c r="E177" s="4" t="s">
        <v>31</v>
      </c>
      <c r="F177" s="4" t="s">
        <v>32</v>
      </c>
      <c r="G177" s="4" t="s">
        <v>33</v>
      </c>
      <c r="H177" s="8">
        <v>1</v>
      </c>
      <c r="I177" s="33">
        <v>59.99</v>
      </c>
      <c r="J177" s="4" t="s">
        <v>57</v>
      </c>
      <c r="K177" s="4" t="s">
        <v>50</v>
      </c>
      <c r="L177" s="4" t="s">
        <v>36</v>
      </c>
      <c r="M177" s="5">
        <v>44560</v>
      </c>
      <c r="N177" s="33">
        <v>59.99</v>
      </c>
    </row>
    <row r="178" spans="1:14" ht="14.5">
      <c r="A178" s="4" t="s">
        <v>362</v>
      </c>
      <c r="B178" s="5">
        <v>45708</v>
      </c>
      <c r="C178" s="4" t="s">
        <v>192</v>
      </c>
      <c r="D178" s="4" t="s">
        <v>193</v>
      </c>
      <c r="E178" s="4" t="s">
        <v>126</v>
      </c>
      <c r="F178" s="4" t="s">
        <v>127</v>
      </c>
      <c r="G178" s="4" t="s">
        <v>46</v>
      </c>
      <c r="H178" s="8">
        <v>3</v>
      </c>
      <c r="I178" s="33">
        <v>199.99</v>
      </c>
      <c r="J178" s="4" t="s">
        <v>20</v>
      </c>
      <c r="K178" s="4" t="s">
        <v>50</v>
      </c>
      <c r="L178" s="4" t="s">
        <v>27</v>
      </c>
      <c r="M178" s="5">
        <v>44823</v>
      </c>
      <c r="N178" s="33">
        <v>599.97</v>
      </c>
    </row>
    <row r="179" spans="1:14" ht="14.5">
      <c r="A179" s="4" t="s">
        <v>380</v>
      </c>
      <c r="B179" s="5">
        <v>45734</v>
      </c>
      <c r="C179" s="4" t="s">
        <v>192</v>
      </c>
      <c r="D179" s="4" t="s">
        <v>193</v>
      </c>
      <c r="E179" s="4" t="s">
        <v>31</v>
      </c>
      <c r="F179" s="4" t="s">
        <v>32</v>
      </c>
      <c r="G179" s="4" t="s">
        <v>33</v>
      </c>
      <c r="H179" s="8">
        <v>2</v>
      </c>
      <c r="I179" s="33">
        <v>59.99</v>
      </c>
      <c r="J179" s="4" t="s">
        <v>26</v>
      </c>
      <c r="K179" s="4" t="s">
        <v>50</v>
      </c>
      <c r="L179" s="4" t="s">
        <v>22</v>
      </c>
      <c r="M179" s="5">
        <v>45193</v>
      </c>
      <c r="N179" s="33">
        <v>119.98</v>
      </c>
    </row>
    <row r="180" spans="1:14" ht="14.5">
      <c r="A180" s="4" t="s">
        <v>230</v>
      </c>
      <c r="B180" s="5">
        <v>45532</v>
      </c>
      <c r="C180" s="4" t="s">
        <v>231</v>
      </c>
      <c r="D180" s="4" t="s">
        <v>232</v>
      </c>
      <c r="E180" s="4" t="s">
        <v>52</v>
      </c>
      <c r="F180" s="4" t="s">
        <v>53</v>
      </c>
      <c r="G180" s="4" t="s">
        <v>19</v>
      </c>
      <c r="H180" s="8">
        <v>3</v>
      </c>
      <c r="I180" s="33">
        <v>149.99</v>
      </c>
      <c r="J180" s="4" t="s">
        <v>20</v>
      </c>
      <c r="K180" s="4" t="s">
        <v>50</v>
      </c>
      <c r="L180" s="4" t="s">
        <v>27</v>
      </c>
      <c r="M180" s="5">
        <v>45212</v>
      </c>
      <c r="N180" s="33">
        <v>449.97</v>
      </c>
    </row>
    <row r="181" spans="1:14" ht="14.5">
      <c r="A181" s="4" t="s">
        <v>236</v>
      </c>
      <c r="B181" s="5">
        <v>45537</v>
      </c>
      <c r="C181" s="4" t="s">
        <v>231</v>
      </c>
      <c r="D181" s="4" t="s">
        <v>232</v>
      </c>
      <c r="E181" s="4" t="s">
        <v>17</v>
      </c>
      <c r="F181" s="4" t="s">
        <v>18</v>
      </c>
      <c r="G181" s="4" t="s">
        <v>19</v>
      </c>
      <c r="H181" s="8">
        <v>1</v>
      </c>
      <c r="I181" s="33">
        <v>249.99</v>
      </c>
      <c r="J181" s="4" t="s">
        <v>26</v>
      </c>
      <c r="K181" s="4" t="s">
        <v>50</v>
      </c>
      <c r="L181" s="4" t="s">
        <v>27</v>
      </c>
      <c r="M181" s="5">
        <v>44685</v>
      </c>
      <c r="N181" s="33">
        <v>249.99</v>
      </c>
    </row>
    <row r="182" spans="1:14" ht="14.5">
      <c r="A182" s="4" t="s">
        <v>265</v>
      </c>
      <c r="B182" s="5">
        <v>45573</v>
      </c>
      <c r="C182" s="4" t="s">
        <v>231</v>
      </c>
      <c r="D182" s="4" t="s">
        <v>232</v>
      </c>
      <c r="E182" s="4" t="s">
        <v>44</v>
      </c>
      <c r="F182" s="4" t="s">
        <v>45</v>
      </c>
      <c r="G182" s="4" t="s">
        <v>46</v>
      </c>
      <c r="H182" s="8">
        <v>3</v>
      </c>
      <c r="I182" s="33">
        <v>149.99</v>
      </c>
      <c r="J182" s="4" t="s">
        <v>26</v>
      </c>
      <c r="K182" s="4" t="s">
        <v>35</v>
      </c>
      <c r="L182" s="4" t="s">
        <v>36</v>
      </c>
      <c r="M182" s="5">
        <v>44940</v>
      </c>
      <c r="N182" s="33">
        <v>449.97</v>
      </c>
    </row>
    <row r="183" spans="1:14" ht="14.5">
      <c r="A183" s="4" t="s">
        <v>143</v>
      </c>
      <c r="B183" s="5">
        <v>45441</v>
      </c>
      <c r="C183" s="4" t="s">
        <v>144</v>
      </c>
      <c r="D183" s="4" t="s">
        <v>145</v>
      </c>
      <c r="E183" s="4" t="s">
        <v>117</v>
      </c>
      <c r="F183" s="4" t="s">
        <v>118</v>
      </c>
      <c r="G183" s="4" t="s">
        <v>19</v>
      </c>
      <c r="H183" s="8">
        <v>3</v>
      </c>
      <c r="I183" s="33">
        <v>89.99</v>
      </c>
      <c r="J183" s="4" t="s">
        <v>34</v>
      </c>
      <c r="K183" s="4" t="s">
        <v>21</v>
      </c>
      <c r="L183" s="4" t="s">
        <v>27</v>
      </c>
      <c r="M183" s="5">
        <v>45120</v>
      </c>
      <c r="N183" s="33">
        <v>269.97000000000003</v>
      </c>
    </row>
    <row r="184" spans="1:14" ht="14.5">
      <c r="A184" s="4" t="s">
        <v>228</v>
      </c>
      <c r="B184" s="5">
        <v>45528</v>
      </c>
      <c r="C184" s="4" t="s">
        <v>144</v>
      </c>
      <c r="D184" s="4" t="s">
        <v>145</v>
      </c>
      <c r="E184" s="4" t="s">
        <v>17</v>
      </c>
      <c r="F184" s="4" t="s">
        <v>18</v>
      </c>
      <c r="G184" s="4" t="s">
        <v>19</v>
      </c>
      <c r="H184" s="8">
        <v>2</v>
      </c>
      <c r="I184" s="33">
        <v>249.99</v>
      </c>
      <c r="J184" s="4" t="s">
        <v>20</v>
      </c>
      <c r="K184" s="4" t="s">
        <v>35</v>
      </c>
      <c r="L184" s="4" t="s">
        <v>36</v>
      </c>
      <c r="M184" s="5">
        <v>44572</v>
      </c>
      <c r="N184" s="33">
        <v>499.98</v>
      </c>
    </row>
    <row r="185" spans="1:14" ht="14.5">
      <c r="A185" s="4" t="s">
        <v>377</v>
      </c>
      <c r="B185" s="5">
        <v>45724</v>
      </c>
      <c r="C185" s="4" t="s">
        <v>144</v>
      </c>
      <c r="D185" s="4" t="s">
        <v>145</v>
      </c>
      <c r="E185" s="4" t="s">
        <v>61</v>
      </c>
      <c r="F185" s="4" t="s">
        <v>62</v>
      </c>
      <c r="G185" s="4" t="s">
        <v>19</v>
      </c>
      <c r="H185" s="8">
        <v>5</v>
      </c>
      <c r="I185" s="33">
        <v>899.99</v>
      </c>
      <c r="J185" s="4" t="s">
        <v>34</v>
      </c>
      <c r="K185" s="4" t="s">
        <v>63</v>
      </c>
      <c r="L185" s="4" t="s">
        <v>27</v>
      </c>
      <c r="M185" s="5">
        <v>45389</v>
      </c>
      <c r="N185" s="33">
        <v>4499.95</v>
      </c>
    </row>
    <row r="186" spans="1:14" ht="14.5">
      <c r="A186" s="4" t="s">
        <v>379</v>
      </c>
      <c r="B186" s="5">
        <v>45726</v>
      </c>
      <c r="C186" s="4" t="s">
        <v>144</v>
      </c>
      <c r="D186" s="4" t="s">
        <v>145</v>
      </c>
      <c r="E186" s="4" t="s">
        <v>17</v>
      </c>
      <c r="F186" s="4" t="s">
        <v>18</v>
      </c>
      <c r="G186" s="4" t="s">
        <v>19</v>
      </c>
      <c r="H186" s="8">
        <v>1</v>
      </c>
      <c r="I186" s="33">
        <v>249.99</v>
      </c>
      <c r="J186" s="4" t="s">
        <v>20</v>
      </c>
      <c r="K186" s="4" t="s">
        <v>40</v>
      </c>
      <c r="L186" s="4" t="s">
        <v>36</v>
      </c>
      <c r="M186" s="5">
        <v>45117</v>
      </c>
      <c r="N186" s="33">
        <v>249.99</v>
      </c>
    </row>
    <row r="187" spans="1:14" ht="14.5">
      <c r="A187" s="4" t="s">
        <v>107</v>
      </c>
      <c r="B187" s="5">
        <v>45422</v>
      </c>
      <c r="C187" s="4" t="s">
        <v>108</v>
      </c>
      <c r="D187" s="4" t="s">
        <v>109</v>
      </c>
      <c r="E187" s="4" t="s">
        <v>17</v>
      </c>
      <c r="F187" s="4" t="s">
        <v>18</v>
      </c>
      <c r="G187" s="4" t="s">
        <v>19</v>
      </c>
      <c r="H187" s="8">
        <v>5</v>
      </c>
      <c r="I187" s="33">
        <v>249.99</v>
      </c>
      <c r="J187" s="4" t="s">
        <v>26</v>
      </c>
      <c r="K187" s="4" t="s">
        <v>50</v>
      </c>
      <c r="L187" s="4" t="s">
        <v>36</v>
      </c>
      <c r="M187" s="5">
        <v>44525</v>
      </c>
      <c r="N187" s="33">
        <v>1249.95</v>
      </c>
    </row>
    <row r="188" spans="1:14" ht="14.5">
      <c r="A188" s="4" t="s">
        <v>223</v>
      </c>
      <c r="B188" s="5">
        <v>45523</v>
      </c>
      <c r="C188" s="4" t="s">
        <v>108</v>
      </c>
      <c r="D188" s="4" t="s">
        <v>109</v>
      </c>
      <c r="E188" s="4" t="s">
        <v>52</v>
      </c>
      <c r="F188" s="4" t="s">
        <v>53</v>
      </c>
      <c r="G188" s="4" t="s">
        <v>19</v>
      </c>
      <c r="H188" s="8">
        <v>3</v>
      </c>
      <c r="I188" s="33">
        <v>149.99</v>
      </c>
      <c r="J188" s="4" t="s">
        <v>34</v>
      </c>
      <c r="K188" s="4" t="s">
        <v>63</v>
      </c>
      <c r="L188" s="4" t="s">
        <v>22</v>
      </c>
      <c r="M188" s="5">
        <v>44574</v>
      </c>
      <c r="N188" s="33">
        <v>449.97</v>
      </c>
    </row>
    <row r="189" spans="1:14" ht="14.5">
      <c r="A189" s="4" t="s">
        <v>302</v>
      </c>
      <c r="B189" s="5">
        <v>45635</v>
      </c>
      <c r="C189" s="4" t="s">
        <v>108</v>
      </c>
      <c r="D189" s="4" t="s">
        <v>109</v>
      </c>
      <c r="E189" s="4" t="s">
        <v>17</v>
      </c>
      <c r="F189" s="4" t="s">
        <v>18</v>
      </c>
      <c r="G189" s="4" t="s">
        <v>19</v>
      </c>
      <c r="H189" s="8">
        <v>2</v>
      </c>
      <c r="I189" s="33">
        <v>249.99</v>
      </c>
      <c r="J189" s="4" t="s">
        <v>26</v>
      </c>
      <c r="K189" s="4" t="s">
        <v>21</v>
      </c>
      <c r="L189" s="4" t="s">
        <v>27</v>
      </c>
      <c r="M189" s="5">
        <v>44396</v>
      </c>
      <c r="N189" s="33">
        <v>499.98</v>
      </c>
    </row>
    <row r="190" spans="1:14" ht="14.5">
      <c r="A190" s="4" t="s">
        <v>321</v>
      </c>
      <c r="B190" s="5">
        <v>45655</v>
      </c>
      <c r="C190" s="4" t="s">
        <v>108</v>
      </c>
      <c r="D190" s="4" t="s">
        <v>109</v>
      </c>
      <c r="E190" s="4" t="s">
        <v>44</v>
      </c>
      <c r="F190" s="4" t="s">
        <v>45</v>
      </c>
      <c r="G190" s="4" t="s">
        <v>46</v>
      </c>
      <c r="H190" s="8">
        <v>5</v>
      </c>
      <c r="I190" s="33">
        <v>149.99</v>
      </c>
      <c r="J190" s="4" t="s">
        <v>20</v>
      </c>
      <c r="K190" s="4" t="s">
        <v>21</v>
      </c>
      <c r="L190" s="4" t="s">
        <v>27</v>
      </c>
      <c r="M190" s="5">
        <v>45347</v>
      </c>
      <c r="N190" s="33">
        <v>749.95</v>
      </c>
    </row>
    <row r="191" spans="1:14" ht="14.5">
      <c r="A191" s="4" t="s">
        <v>330</v>
      </c>
      <c r="B191" s="5">
        <v>45667</v>
      </c>
      <c r="C191" s="4" t="s">
        <v>108</v>
      </c>
      <c r="D191" s="4" t="s">
        <v>109</v>
      </c>
      <c r="E191" s="4" t="s">
        <v>126</v>
      </c>
      <c r="F191" s="4" t="s">
        <v>127</v>
      </c>
      <c r="G191" s="4" t="s">
        <v>46</v>
      </c>
      <c r="H191" s="8">
        <v>5</v>
      </c>
      <c r="I191" s="33">
        <v>199.99</v>
      </c>
      <c r="J191" s="4" t="s">
        <v>34</v>
      </c>
      <c r="K191" s="4" t="s">
        <v>21</v>
      </c>
      <c r="L191" s="4" t="s">
        <v>36</v>
      </c>
      <c r="M191" s="5">
        <v>44633</v>
      </c>
      <c r="N191" s="33">
        <v>999.95</v>
      </c>
    </row>
    <row r="192" spans="1:14" ht="14.5">
      <c r="A192" s="4" t="s">
        <v>355</v>
      </c>
      <c r="B192" s="5">
        <v>45701</v>
      </c>
      <c r="C192" s="4" t="s">
        <v>108</v>
      </c>
      <c r="D192" s="4" t="s">
        <v>109</v>
      </c>
      <c r="E192" s="4" t="s">
        <v>114</v>
      </c>
      <c r="F192" s="4" t="s">
        <v>115</v>
      </c>
      <c r="G192" s="4" t="s">
        <v>33</v>
      </c>
      <c r="H192" s="8">
        <v>3</v>
      </c>
      <c r="I192" s="33">
        <v>79.989999999999995</v>
      </c>
      <c r="J192" s="4" t="s">
        <v>20</v>
      </c>
      <c r="K192" s="4" t="s">
        <v>63</v>
      </c>
      <c r="L192" s="4" t="s">
        <v>27</v>
      </c>
      <c r="M192" s="5">
        <v>44436</v>
      </c>
      <c r="N192" s="33">
        <v>239.97</v>
      </c>
    </row>
    <row r="193" spans="1:14" ht="14.5">
      <c r="A193" s="4" t="s">
        <v>324</v>
      </c>
      <c r="B193" s="5">
        <v>45661</v>
      </c>
      <c r="C193" s="4" t="s">
        <v>325</v>
      </c>
      <c r="D193" s="4" t="s">
        <v>326</v>
      </c>
      <c r="E193" s="4" t="s">
        <v>61</v>
      </c>
      <c r="F193" s="4" t="s">
        <v>62</v>
      </c>
      <c r="G193" s="4" t="s">
        <v>19</v>
      </c>
      <c r="H193" s="8">
        <v>1</v>
      </c>
      <c r="I193" s="33">
        <v>899.99</v>
      </c>
      <c r="J193" s="4" t="s">
        <v>34</v>
      </c>
      <c r="K193" s="4" t="s">
        <v>40</v>
      </c>
      <c r="L193" s="4" t="s">
        <v>36</v>
      </c>
      <c r="M193" s="5">
        <v>44752</v>
      </c>
      <c r="N193" s="33">
        <v>899.99</v>
      </c>
    </row>
    <row r="194" spans="1:14" ht="14.5">
      <c r="A194" s="4" t="s">
        <v>351</v>
      </c>
      <c r="B194" s="5">
        <v>45692</v>
      </c>
      <c r="C194" s="4" t="s">
        <v>325</v>
      </c>
      <c r="D194" s="4" t="s">
        <v>326</v>
      </c>
      <c r="E194" s="4" t="s">
        <v>31</v>
      </c>
      <c r="F194" s="4" t="s">
        <v>32</v>
      </c>
      <c r="G194" s="4" t="s">
        <v>33</v>
      </c>
      <c r="H194" s="8">
        <v>1</v>
      </c>
      <c r="I194" s="33">
        <v>59.99</v>
      </c>
      <c r="J194" s="4" t="s">
        <v>57</v>
      </c>
      <c r="K194" s="4" t="s">
        <v>21</v>
      </c>
      <c r="L194" s="4" t="s">
        <v>36</v>
      </c>
      <c r="M194" s="5">
        <v>45045</v>
      </c>
      <c r="N194" s="33">
        <v>59.99</v>
      </c>
    </row>
    <row r="195" spans="1:14" ht="14.5">
      <c r="A195" s="4" t="s">
        <v>366</v>
      </c>
      <c r="B195" s="5">
        <v>45711</v>
      </c>
      <c r="C195" s="4" t="s">
        <v>325</v>
      </c>
      <c r="D195" s="4" t="s">
        <v>326</v>
      </c>
      <c r="E195" s="4" t="s">
        <v>44</v>
      </c>
      <c r="F195" s="4" t="s">
        <v>45</v>
      </c>
      <c r="G195" s="4" t="s">
        <v>46</v>
      </c>
      <c r="H195" s="8">
        <v>4</v>
      </c>
      <c r="I195" s="33">
        <v>149.99</v>
      </c>
      <c r="J195" s="4" t="s">
        <v>34</v>
      </c>
      <c r="K195" s="4" t="s">
        <v>40</v>
      </c>
      <c r="L195" s="4" t="s">
        <v>27</v>
      </c>
      <c r="M195" s="5">
        <v>44412</v>
      </c>
      <c r="N195" s="33">
        <v>599.96</v>
      </c>
    </row>
    <row r="196" spans="1:14" ht="14.5">
      <c r="A196" s="4" t="s">
        <v>77</v>
      </c>
      <c r="B196" s="5">
        <v>45409</v>
      </c>
      <c r="C196" s="4" t="s">
        <v>78</v>
      </c>
      <c r="D196" s="4" t="s">
        <v>79</v>
      </c>
      <c r="E196" s="4" t="s">
        <v>80</v>
      </c>
      <c r="F196" s="4" t="s">
        <v>81</v>
      </c>
      <c r="G196" s="4" t="s">
        <v>19</v>
      </c>
      <c r="H196" s="8">
        <v>3</v>
      </c>
      <c r="I196" s="33">
        <v>699.99</v>
      </c>
      <c r="J196" s="4" t="s">
        <v>26</v>
      </c>
      <c r="K196" s="4" t="s">
        <v>50</v>
      </c>
      <c r="L196" s="4" t="s">
        <v>22</v>
      </c>
      <c r="M196" s="5">
        <v>44577</v>
      </c>
      <c r="N196" s="33">
        <v>2099.9699999999998</v>
      </c>
    </row>
    <row r="197" spans="1:14" ht="14.5">
      <c r="A197" s="4" t="s">
        <v>333</v>
      </c>
      <c r="B197" s="5">
        <v>45668</v>
      </c>
      <c r="C197" s="4" t="s">
        <v>78</v>
      </c>
      <c r="D197" s="4" t="s">
        <v>79</v>
      </c>
      <c r="E197" s="4" t="s">
        <v>80</v>
      </c>
      <c r="F197" s="4" t="s">
        <v>81</v>
      </c>
      <c r="G197" s="4" t="s">
        <v>19</v>
      </c>
      <c r="H197" s="8">
        <v>3</v>
      </c>
      <c r="I197" s="33">
        <v>699.99</v>
      </c>
      <c r="J197" s="4" t="s">
        <v>20</v>
      </c>
      <c r="K197" s="4" t="s">
        <v>40</v>
      </c>
      <c r="L197" s="4" t="s">
        <v>27</v>
      </c>
      <c r="M197" s="5">
        <v>44602</v>
      </c>
      <c r="N197" s="33">
        <v>2099.9699999999998</v>
      </c>
    </row>
    <row r="198" spans="1:14" ht="14.5">
      <c r="A198" s="4" t="s">
        <v>225</v>
      </c>
      <c r="B198" s="5">
        <v>45528</v>
      </c>
      <c r="C198" s="4" t="s">
        <v>226</v>
      </c>
      <c r="D198" s="4" t="s">
        <v>227</v>
      </c>
      <c r="E198" s="4" t="s">
        <v>114</v>
      </c>
      <c r="F198" s="4" t="s">
        <v>115</v>
      </c>
      <c r="G198" s="4" t="s">
        <v>33</v>
      </c>
      <c r="H198" s="8">
        <v>3</v>
      </c>
      <c r="I198" s="33">
        <v>79.989999999999995</v>
      </c>
      <c r="J198" s="4" t="s">
        <v>20</v>
      </c>
      <c r="K198" s="4" t="s">
        <v>21</v>
      </c>
      <c r="L198" s="4" t="s">
        <v>27</v>
      </c>
      <c r="M198" s="5">
        <v>44779</v>
      </c>
      <c r="N198" s="33">
        <v>239.97</v>
      </c>
    </row>
    <row r="199" spans="1:14" ht="14.5">
      <c r="A199" s="4" t="s">
        <v>238</v>
      </c>
      <c r="B199" s="5">
        <v>45538</v>
      </c>
      <c r="C199" s="4" t="s">
        <v>226</v>
      </c>
      <c r="D199" s="4" t="s">
        <v>227</v>
      </c>
      <c r="E199" s="4" t="s">
        <v>80</v>
      </c>
      <c r="F199" s="4" t="s">
        <v>81</v>
      </c>
      <c r="G199" s="4" t="s">
        <v>19</v>
      </c>
      <c r="H199" s="8">
        <v>2</v>
      </c>
      <c r="I199" s="33">
        <v>699.99</v>
      </c>
      <c r="J199" s="4" t="s">
        <v>57</v>
      </c>
      <c r="K199" s="4" t="s">
        <v>21</v>
      </c>
      <c r="L199" s="4" t="s">
        <v>27</v>
      </c>
      <c r="M199" s="5">
        <v>44870</v>
      </c>
      <c r="N199" s="33">
        <v>1399.98</v>
      </c>
    </row>
    <row r="200" spans="1:14" ht="14.5">
      <c r="A200" s="4" t="s">
        <v>271</v>
      </c>
      <c r="B200" s="5">
        <v>45583</v>
      </c>
      <c r="C200" s="4" t="s">
        <v>226</v>
      </c>
      <c r="D200" s="4" t="s">
        <v>227</v>
      </c>
      <c r="E200" s="4" t="s">
        <v>52</v>
      </c>
      <c r="F200" s="4" t="s">
        <v>53</v>
      </c>
      <c r="G200" s="4" t="s">
        <v>19</v>
      </c>
      <c r="H200" s="8">
        <v>2</v>
      </c>
      <c r="I200" s="33">
        <v>149.99</v>
      </c>
      <c r="J200" s="4" t="s">
        <v>26</v>
      </c>
      <c r="K200" s="4" t="s">
        <v>50</v>
      </c>
      <c r="L200" s="4" t="s">
        <v>22</v>
      </c>
      <c r="M200" s="5">
        <v>44916</v>
      </c>
      <c r="N200" s="33">
        <v>299.98</v>
      </c>
    </row>
    <row r="201" spans="1:14" ht="14.5">
      <c r="A201" s="4" t="s">
        <v>272</v>
      </c>
      <c r="B201" s="5">
        <v>45586</v>
      </c>
      <c r="C201" s="4" t="s">
        <v>226</v>
      </c>
      <c r="D201" s="4" t="s">
        <v>227</v>
      </c>
      <c r="E201" s="4" t="s">
        <v>117</v>
      </c>
      <c r="F201" s="4" t="s">
        <v>118</v>
      </c>
      <c r="G201" s="4" t="s">
        <v>19</v>
      </c>
      <c r="H201" s="8">
        <v>3</v>
      </c>
      <c r="I201" s="33">
        <v>89.99</v>
      </c>
      <c r="J201" s="4" t="s">
        <v>34</v>
      </c>
      <c r="K201" s="4" t="s">
        <v>21</v>
      </c>
      <c r="L201" s="4" t="s">
        <v>22</v>
      </c>
      <c r="M201" s="5">
        <v>44551</v>
      </c>
      <c r="N201" s="33">
        <v>269.97000000000003</v>
      </c>
    </row>
    <row r="202" spans="1:14" ht="14.5">
      <c r="A202" s="4" t="s">
        <v>339</v>
      </c>
      <c r="B202" s="5">
        <v>45673</v>
      </c>
      <c r="C202" s="4" t="s">
        <v>226</v>
      </c>
      <c r="D202" s="4" t="s">
        <v>227</v>
      </c>
      <c r="E202" s="4" t="s">
        <v>126</v>
      </c>
      <c r="F202" s="4" t="s">
        <v>127</v>
      </c>
      <c r="G202" s="4" t="s">
        <v>46</v>
      </c>
      <c r="H202" s="8">
        <v>4</v>
      </c>
      <c r="I202" s="33">
        <v>199.99</v>
      </c>
      <c r="J202" s="4" t="s">
        <v>57</v>
      </c>
      <c r="K202" s="4" t="s">
        <v>35</v>
      </c>
      <c r="L202" s="4" t="s">
        <v>36</v>
      </c>
      <c r="M202" s="5">
        <v>44544</v>
      </c>
      <c r="N202" s="33">
        <v>799.96</v>
      </c>
    </row>
    <row r="203" spans="1:14" ht="14.5">
      <c r="A203" s="4" t="s">
        <v>372</v>
      </c>
      <c r="B203" s="5">
        <v>45720</v>
      </c>
      <c r="C203" s="4" t="s">
        <v>226</v>
      </c>
      <c r="D203" s="4" t="s">
        <v>227</v>
      </c>
      <c r="E203" s="4" t="s">
        <v>80</v>
      </c>
      <c r="F203" s="4" t="s">
        <v>81</v>
      </c>
      <c r="G203" s="4" t="s">
        <v>19</v>
      </c>
      <c r="H203" s="8">
        <v>5</v>
      </c>
      <c r="I203" s="33">
        <v>699.99</v>
      </c>
      <c r="J203" s="4" t="s">
        <v>57</v>
      </c>
      <c r="K203" s="4" t="s">
        <v>63</v>
      </c>
      <c r="L203" s="4" t="s">
        <v>27</v>
      </c>
      <c r="M203" s="5">
        <v>45161</v>
      </c>
      <c r="N203" s="33">
        <v>3499.95</v>
      </c>
    </row>
    <row r="204" spans="1:14" ht="14.5">
      <c r="A204" s="4" t="s">
        <v>376</v>
      </c>
      <c r="B204" s="5">
        <v>45724</v>
      </c>
      <c r="C204" s="4" t="s">
        <v>226</v>
      </c>
      <c r="D204" s="4" t="s">
        <v>227</v>
      </c>
      <c r="E204" s="4" t="s">
        <v>44</v>
      </c>
      <c r="F204" s="4" t="s">
        <v>45</v>
      </c>
      <c r="G204" s="4" t="s">
        <v>46</v>
      </c>
      <c r="H204" s="8">
        <v>2</v>
      </c>
      <c r="I204" s="33">
        <v>149.99</v>
      </c>
      <c r="J204" s="4" t="s">
        <v>34</v>
      </c>
      <c r="K204" s="4" t="s">
        <v>21</v>
      </c>
      <c r="L204" s="4" t="s">
        <v>27</v>
      </c>
      <c r="M204" s="5">
        <v>44632</v>
      </c>
      <c r="N204" s="33">
        <v>299.98</v>
      </c>
    </row>
    <row r="205" spans="1:14" ht="14.5">
      <c r="A205" s="4" t="s">
        <v>397</v>
      </c>
      <c r="B205" s="5">
        <v>45758</v>
      </c>
      <c r="C205" s="4" t="s">
        <v>226</v>
      </c>
      <c r="D205" s="4" t="s">
        <v>227</v>
      </c>
      <c r="E205" s="4" t="s">
        <v>117</v>
      </c>
      <c r="F205" s="4" t="s">
        <v>118</v>
      </c>
      <c r="G205" s="4" t="s">
        <v>19</v>
      </c>
      <c r="H205" s="8">
        <v>2</v>
      </c>
      <c r="I205" s="33">
        <v>89.99</v>
      </c>
      <c r="J205" s="4" t="s">
        <v>57</v>
      </c>
      <c r="K205" s="4" t="s">
        <v>63</v>
      </c>
      <c r="L205" s="4" t="s">
        <v>22</v>
      </c>
      <c r="M205" s="5">
        <v>45088</v>
      </c>
      <c r="N205" s="33">
        <v>179.98</v>
      </c>
    </row>
    <row r="206" spans="1:14" ht="14.5">
      <c r="A206" s="4" t="s">
        <v>149</v>
      </c>
      <c r="B206" s="5">
        <v>45444</v>
      </c>
      <c r="C206" s="4" t="s">
        <v>150</v>
      </c>
      <c r="D206" s="4" t="s">
        <v>151</v>
      </c>
      <c r="E206" s="4" t="s">
        <v>31</v>
      </c>
      <c r="F206" s="4" t="s">
        <v>32</v>
      </c>
      <c r="G206" s="4" t="s">
        <v>33</v>
      </c>
      <c r="H206" s="8">
        <v>2</v>
      </c>
      <c r="I206" s="33">
        <v>59.99</v>
      </c>
      <c r="J206" s="4" t="s">
        <v>20</v>
      </c>
      <c r="K206" s="4" t="s">
        <v>50</v>
      </c>
      <c r="L206" s="4" t="s">
        <v>22</v>
      </c>
      <c r="M206" s="5">
        <v>45390</v>
      </c>
      <c r="N206" s="33">
        <v>119.98</v>
      </c>
    </row>
    <row r="207" spans="1:14" ht="14.5">
      <c r="A207" s="4" t="s">
        <v>200</v>
      </c>
      <c r="B207" s="5">
        <v>45496</v>
      </c>
      <c r="C207" s="4" t="s">
        <v>150</v>
      </c>
      <c r="D207" s="4" t="s">
        <v>151</v>
      </c>
      <c r="E207" s="4" t="s">
        <v>61</v>
      </c>
      <c r="F207" s="4" t="s">
        <v>62</v>
      </c>
      <c r="G207" s="4" t="s">
        <v>19</v>
      </c>
      <c r="H207" s="8">
        <v>1</v>
      </c>
      <c r="I207" s="33">
        <v>899.99</v>
      </c>
      <c r="J207" s="4" t="s">
        <v>20</v>
      </c>
      <c r="K207" s="4" t="s">
        <v>21</v>
      </c>
      <c r="L207" s="4" t="s">
        <v>36</v>
      </c>
      <c r="M207" s="5">
        <v>45179</v>
      </c>
      <c r="N207" s="33">
        <v>899.99</v>
      </c>
    </row>
    <row r="208" spans="1:14" ht="14.5">
      <c r="A208" s="4" t="s">
        <v>270</v>
      </c>
      <c r="B208" s="5">
        <v>45581</v>
      </c>
      <c r="C208" s="4" t="s">
        <v>150</v>
      </c>
      <c r="D208" s="4" t="s">
        <v>151</v>
      </c>
      <c r="E208" s="4" t="s">
        <v>61</v>
      </c>
      <c r="F208" s="4" t="s">
        <v>62</v>
      </c>
      <c r="G208" s="4" t="s">
        <v>19</v>
      </c>
      <c r="H208" s="8">
        <v>1</v>
      </c>
      <c r="I208" s="33">
        <v>899.99</v>
      </c>
      <c r="J208" s="4" t="s">
        <v>26</v>
      </c>
      <c r="K208" s="4" t="s">
        <v>63</v>
      </c>
      <c r="L208" s="4" t="s">
        <v>36</v>
      </c>
      <c r="M208" s="5">
        <v>45369</v>
      </c>
      <c r="N208" s="33">
        <v>899.99</v>
      </c>
    </row>
    <row r="209" spans="1:14" ht="14.5">
      <c r="A209" s="4" t="s">
        <v>354</v>
      </c>
      <c r="B209" s="5">
        <v>45696</v>
      </c>
      <c r="C209" s="4" t="s">
        <v>150</v>
      </c>
      <c r="D209" s="4" t="s">
        <v>151</v>
      </c>
      <c r="E209" s="4" t="s">
        <v>31</v>
      </c>
      <c r="F209" s="4" t="s">
        <v>32</v>
      </c>
      <c r="G209" s="4" t="s">
        <v>33</v>
      </c>
      <c r="H209" s="8">
        <v>5</v>
      </c>
      <c r="I209" s="33">
        <v>59.99</v>
      </c>
      <c r="J209" s="4" t="s">
        <v>57</v>
      </c>
      <c r="K209" s="4" t="s">
        <v>21</v>
      </c>
      <c r="L209" s="4" t="s">
        <v>36</v>
      </c>
      <c r="M209" s="5">
        <v>45177</v>
      </c>
      <c r="N209" s="33">
        <v>299.95</v>
      </c>
    </row>
    <row r="210" spans="1:14" ht="14.5">
      <c r="A210" s="4" t="s">
        <v>364</v>
      </c>
      <c r="B210" s="5">
        <v>45710</v>
      </c>
      <c r="C210" s="4" t="s">
        <v>150</v>
      </c>
      <c r="D210" s="4" t="s">
        <v>151</v>
      </c>
      <c r="E210" s="4" t="s">
        <v>80</v>
      </c>
      <c r="F210" s="4" t="s">
        <v>81</v>
      </c>
      <c r="G210" s="4" t="s">
        <v>19</v>
      </c>
      <c r="H210" s="8">
        <v>1</v>
      </c>
      <c r="I210" s="33">
        <v>699.99</v>
      </c>
      <c r="J210" s="4" t="s">
        <v>34</v>
      </c>
      <c r="K210" s="4" t="s">
        <v>50</v>
      </c>
      <c r="L210" s="4" t="s">
        <v>22</v>
      </c>
      <c r="M210" s="5">
        <v>44934</v>
      </c>
      <c r="N210" s="33">
        <v>699.99</v>
      </c>
    </row>
    <row r="211" spans="1:14" ht="14.5">
      <c r="A211" s="4" t="s">
        <v>382</v>
      </c>
      <c r="B211" s="5">
        <v>45737</v>
      </c>
      <c r="C211" s="4" t="s">
        <v>150</v>
      </c>
      <c r="D211" s="4" t="s">
        <v>151</v>
      </c>
      <c r="E211" s="4" t="s">
        <v>61</v>
      </c>
      <c r="F211" s="4" t="s">
        <v>62</v>
      </c>
      <c r="G211" s="4" t="s">
        <v>19</v>
      </c>
      <c r="H211" s="8">
        <v>3</v>
      </c>
      <c r="I211" s="33">
        <v>899.99</v>
      </c>
      <c r="J211" s="4" t="s">
        <v>57</v>
      </c>
      <c r="K211" s="4" t="s">
        <v>40</v>
      </c>
      <c r="L211" s="4" t="s">
        <v>27</v>
      </c>
      <c r="M211" s="5">
        <v>44876</v>
      </c>
      <c r="N211" s="33">
        <v>2699.97</v>
      </c>
    </row>
    <row r="212" spans="1:14" ht="14.5">
      <c r="A212" s="4" t="s">
        <v>71</v>
      </c>
      <c r="B212" s="5">
        <v>45408</v>
      </c>
      <c r="C212" s="4" t="s">
        <v>72</v>
      </c>
      <c r="D212" s="4" t="s">
        <v>73</v>
      </c>
      <c r="E212" s="4" t="s">
        <v>44</v>
      </c>
      <c r="F212" s="4" t="s">
        <v>45</v>
      </c>
      <c r="G212" s="4" t="s">
        <v>46</v>
      </c>
      <c r="H212" s="8">
        <v>3</v>
      </c>
      <c r="I212" s="33">
        <v>149.99</v>
      </c>
      <c r="J212" s="4" t="s">
        <v>20</v>
      </c>
      <c r="K212" s="4" t="s">
        <v>40</v>
      </c>
      <c r="L212" s="4" t="s">
        <v>27</v>
      </c>
      <c r="M212" s="5">
        <v>44806</v>
      </c>
      <c r="N212" s="33">
        <v>449.97</v>
      </c>
    </row>
    <row r="213" spans="1:14" ht="14.5">
      <c r="A213" s="4" t="s">
        <v>198</v>
      </c>
      <c r="B213" s="5">
        <v>45490</v>
      </c>
      <c r="C213" s="4" t="s">
        <v>72</v>
      </c>
      <c r="D213" s="4" t="s">
        <v>73</v>
      </c>
      <c r="E213" s="4" t="s">
        <v>44</v>
      </c>
      <c r="F213" s="4" t="s">
        <v>45</v>
      </c>
      <c r="G213" s="4" t="s">
        <v>46</v>
      </c>
      <c r="H213" s="8">
        <v>3</v>
      </c>
      <c r="I213" s="33">
        <v>149.99</v>
      </c>
      <c r="J213" s="4" t="s">
        <v>20</v>
      </c>
      <c r="K213" s="4" t="s">
        <v>21</v>
      </c>
      <c r="L213" s="4" t="s">
        <v>27</v>
      </c>
      <c r="M213" s="5">
        <v>45199</v>
      </c>
      <c r="N213" s="33">
        <v>449.97</v>
      </c>
    </row>
    <row r="214" spans="1:14" ht="14.5">
      <c r="A214" s="4" t="s">
        <v>254</v>
      </c>
      <c r="B214" s="5">
        <v>45554</v>
      </c>
      <c r="C214" s="4" t="s">
        <v>72</v>
      </c>
      <c r="D214" s="4" t="s">
        <v>73</v>
      </c>
      <c r="E214" s="4" t="s">
        <v>80</v>
      </c>
      <c r="F214" s="4" t="s">
        <v>81</v>
      </c>
      <c r="G214" s="4" t="s">
        <v>19</v>
      </c>
      <c r="H214" s="8">
        <v>4</v>
      </c>
      <c r="I214" s="33">
        <v>699.99</v>
      </c>
      <c r="J214" s="4" t="s">
        <v>34</v>
      </c>
      <c r="K214" s="4" t="s">
        <v>35</v>
      </c>
      <c r="L214" s="4" t="s">
        <v>22</v>
      </c>
      <c r="M214" s="5">
        <v>44618</v>
      </c>
      <c r="N214" s="33">
        <v>2799.96</v>
      </c>
    </row>
    <row r="215" spans="1:14" ht="14.5">
      <c r="A215" s="4" t="s">
        <v>282</v>
      </c>
      <c r="B215" s="5">
        <v>45607</v>
      </c>
      <c r="C215" s="4" t="s">
        <v>72</v>
      </c>
      <c r="D215" s="4" t="s">
        <v>73</v>
      </c>
      <c r="E215" s="4" t="s">
        <v>52</v>
      </c>
      <c r="F215" s="4" t="s">
        <v>53</v>
      </c>
      <c r="G215" s="4" t="s">
        <v>19</v>
      </c>
      <c r="H215" s="8">
        <v>3</v>
      </c>
      <c r="I215" s="33">
        <v>149.99</v>
      </c>
      <c r="J215" s="4" t="s">
        <v>20</v>
      </c>
      <c r="K215" s="4" t="s">
        <v>40</v>
      </c>
      <c r="L215" s="4" t="s">
        <v>22</v>
      </c>
      <c r="M215" s="5">
        <v>44769</v>
      </c>
      <c r="N215" s="33">
        <v>449.97</v>
      </c>
    </row>
    <row r="216" spans="1:14" ht="14.5">
      <c r="A216" s="4" t="s">
        <v>308</v>
      </c>
      <c r="B216" s="5">
        <v>45638</v>
      </c>
      <c r="C216" s="4" t="s">
        <v>72</v>
      </c>
      <c r="D216" s="4" t="s">
        <v>73</v>
      </c>
      <c r="E216" s="4" t="s">
        <v>61</v>
      </c>
      <c r="F216" s="4" t="s">
        <v>62</v>
      </c>
      <c r="G216" s="4" t="s">
        <v>19</v>
      </c>
      <c r="H216" s="8">
        <v>2</v>
      </c>
      <c r="I216" s="33">
        <v>899.99</v>
      </c>
      <c r="J216" s="4" t="s">
        <v>20</v>
      </c>
      <c r="K216" s="4" t="s">
        <v>40</v>
      </c>
      <c r="L216" s="4" t="s">
        <v>22</v>
      </c>
      <c r="M216" s="5">
        <v>44406</v>
      </c>
      <c r="N216" s="33">
        <v>1799.98</v>
      </c>
    </row>
    <row r="217" spans="1:14" ht="14.5">
      <c r="A217" s="4" t="s">
        <v>245</v>
      </c>
      <c r="B217" s="5">
        <v>45550</v>
      </c>
      <c r="C217" s="4" t="s">
        <v>246</v>
      </c>
      <c r="D217" s="4" t="s">
        <v>247</v>
      </c>
      <c r="E217" s="4" t="s">
        <v>52</v>
      </c>
      <c r="F217" s="4" t="s">
        <v>53</v>
      </c>
      <c r="G217" s="4" t="s">
        <v>19</v>
      </c>
      <c r="H217" s="8">
        <v>4</v>
      </c>
      <c r="I217" s="33">
        <v>149.99</v>
      </c>
      <c r="J217" s="4" t="s">
        <v>20</v>
      </c>
      <c r="K217" s="4" t="s">
        <v>40</v>
      </c>
      <c r="L217" s="4" t="s">
        <v>22</v>
      </c>
      <c r="M217" s="5">
        <v>44909</v>
      </c>
      <c r="N217" s="33">
        <v>599.96</v>
      </c>
    </row>
    <row r="218" spans="1:14" ht="14.5">
      <c r="A218" s="4" t="s">
        <v>352</v>
      </c>
      <c r="B218" s="5">
        <v>45695</v>
      </c>
      <c r="C218" s="4" t="s">
        <v>246</v>
      </c>
      <c r="D218" s="4" t="s">
        <v>247</v>
      </c>
      <c r="E218" s="4" t="s">
        <v>44</v>
      </c>
      <c r="F218" s="4" t="s">
        <v>45</v>
      </c>
      <c r="G218" s="4" t="s">
        <v>46</v>
      </c>
      <c r="H218" s="8">
        <v>3</v>
      </c>
      <c r="I218" s="33">
        <v>149.99</v>
      </c>
      <c r="J218" s="4" t="s">
        <v>57</v>
      </c>
      <c r="K218" s="4" t="s">
        <v>40</v>
      </c>
      <c r="L218" s="4" t="s">
        <v>27</v>
      </c>
      <c r="M218" s="5">
        <v>44564</v>
      </c>
      <c r="N218" s="33">
        <v>449.97</v>
      </c>
    </row>
    <row r="219" spans="1:14" ht="14.5">
      <c r="A219" s="4" t="s">
        <v>365</v>
      </c>
      <c r="B219" s="5">
        <v>45711</v>
      </c>
      <c r="C219" s="4" t="s">
        <v>246</v>
      </c>
      <c r="D219" s="4" t="s">
        <v>247</v>
      </c>
      <c r="E219" s="4" t="s">
        <v>80</v>
      </c>
      <c r="F219" s="4" t="s">
        <v>81</v>
      </c>
      <c r="G219" s="4" t="s">
        <v>19</v>
      </c>
      <c r="H219" s="8">
        <v>1</v>
      </c>
      <c r="I219" s="33">
        <v>699.99</v>
      </c>
      <c r="J219" s="4" t="s">
        <v>20</v>
      </c>
      <c r="K219" s="4" t="s">
        <v>40</v>
      </c>
      <c r="L219" s="4" t="s">
        <v>27</v>
      </c>
      <c r="M219" s="5">
        <v>44583</v>
      </c>
      <c r="N219" s="33">
        <v>699.99</v>
      </c>
    </row>
    <row r="220" spans="1:14" ht="14.5">
      <c r="A220" s="4" t="s">
        <v>74</v>
      </c>
      <c r="B220" s="5">
        <v>45409</v>
      </c>
      <c r="C220" s="4" t="s">
        <v>75</v>
      </c>
      <c r="D220" s="4" t="s">
        <v>76</v>
      </c>
      <c r="E220" s="4" t="s">
        <v>31</v>
      </c>
      <c r="F220" s="4" t="s">
        <v>32</v>
      </c>
      <c r="G220" s="4" t="s">
        <v>33</v>
      </c>
      <c r="H220" s="8">
        <v>3</v>
      </c>
      <c r="I220" s="33">
        <v>59.99</v>
      </c>
      <c r="J220" s="4" t="s">
        <v>26</v>
      </c>
      <c r="K220" s="4" t="s">
        <v>40</v>
      </c>
      <c r="L220" s="4" t="s">
        <v>36</v>
      </c>
      <c r="M220" s="5">
        <v>45351</v>
      </c>
      <c r="N220" s="33">
        <v>179.97</v>
      </c>
    </row>
    <row r="221" spans="1:14" ht="14.5">
      <c r="A221" s="4" t="s">
        <v>373</v>
      </c>
      <c r="B221" s="5">
        <v>45721</v>
      </c>
      <c r="C221" s="4" t="s">
        <v>75</v>
      </c>
      <c r="D221" s="4" t="s">
        <v>76</v>
      </c>
      <c r="E221" s="4" t="s">
        <v>31</v>
      </c>
      <c r="F221" s="4" t="s">
        <v>32</v>
      </c>
      <c r="G221" s="4" t="s">
        <v>33</v>
      </c>
      <c r="H221" s="8">
        <v>5</v>
      </c>
      <c r="I221" s="33">
        <v>59.99</v>
      </c>
      <c r="J221" s="4" t="s">
        <v>20</v>
      </c>
      <c r="K221" s="4" t="s">
        <v>50</v>
      </c>
      <c r="L221" s="4" t="s">
        <v>27</v>
      </c>
      <c r="M221" s="5">
        <v>45291</v>
      </c>
      <c r="N221" s="33">
        <v>299.95</v>
      </c>
    </row>
    <row r="222" spans="1:14" ht="14.5">
      <c r="A222" s="4" t="s">
        <v>101</v>
      </c>
      <c r="B222" s="5">
        <v>45415</v>
      </c>
      <c r="C222" s="4" t="s">
        <v>102</v>
      </c>
      <c r="D222" s="4" t="s">
        <v>103</v>
      </c>
      <c r="E222" s="4" t="s">
        <v>17</v>
      </c>
      <c r="F222" s="4" t="s">
        <v>18</v>
      </c>
      <c r="G222" s="4" t="s">
        <v>19</v>
      </c>
      <c r="H222" s="8">
        <v>4</v>
      </c>
      <c r="I222" s="33">
        <v>249.99</v>
      </c>
      <c r="J222" s="4" t="s">
        <v>34</v>
      </c>
      <c r="K222" s="4" t="s">
        <v>40</v>
      </c>
      <c r="L222" s="4" t="s">
        <v>36</v>
      </c>
      <c r="M222" s="5">
        <v>44468</v>
      </c>
      <c r="N222" s="33">
        <v>999.96</v>
      </c>
    </row>
    <row r="223" spans="1:14" ht="14.5">
      <c r="A223" s="4" t="s">
        <v>213</v>
      </c>
      <c r="B223" s="5">
        <v>45510</v>
      </c>
      <c r="C223" s="4" t="s">
        <v>102</v>
      </c>
      <c r="D223" s="4" t="s">
        <v>103</v>
      </c>
      <c r="E223" s="4" t="s">
        <v>44</v>
      </c>
      <c r="F223" s="4" t="s">
        <v>45</v>
      </c>
      <c r="G223" s="4" t="s">
        <v>46</v>
      </c>
      <c r="H223" s="8">
        <v>2</v>
      </c>
      <c r="I223" s="33">
        <v>149.99</v>
      </c>
      <c r="J223" s="4" t="s">
        <v>57</v>
      </c>
      <c r="K223" s="4" t="s">
        <v>63</v>
      </c>
      <c r="L223" s="4" t="s">
        <v>36</v>
      </c>
      <c r="M223" s="5">
        <v>44667</v>
      </c>
      <c r="N223" s="33">
        <v>299.98</v>
      </c>
    </row>
    <row r="224" spans="1:14" ht="14.5">
      <c r="A224" s="4" t="s">
        <v>224</v>
      </c>
      <c r="B224" s="5">
        <v>45526</v>
      </c>
      <c r="C224" s="4" t="s">
        <v>102</v>
      </c>
      <c r="D224" s="4" t="s">
        <v>103</v>
      </c>
      <c r="E224" s="4" t="s">
        <v>44</v>
      </c>
      <c r="F224" s="4" t="s">
        <v>45</v>
      </c>
      <c r="G224" s="4" t="s">
        <v>46</v>
      </c>
      <c r="H224" s="8">
        <v>5</v>
      </c>
      <c r="I224" s="33">
        <v>149.99</v>
      </c>
      <c r="J224" s="4" t="s">
        <v>26</v>
      </c>
      <c r="K224" s="4" t="s">
        <v>21</v>
      </c>
      <c r="L224" s="4" t="s">
        <v>22</v>
      </c>
      <c r="M224" s="5">
        <v>45310</v>
      </c>
      <c r="N224" s="33">
        <v>749.95</v>
      </c>
    </row>
    <row r="225" spans="1:14" ht="14.5">
      <c r="A225" s="4" t="s">
        <v>388</v>
      </c>
      <c r="B225" s="5">
        <v>45743</v>
      </c>
      <c r="C225" s="4" t="s">
        <v>102</v>
      </c>
      <c r="D225" s="4" t="s">
        <v>103</v>
      </c>
      <c r="E225" s="4" t="s">
        <v>114</v>
      </c>
      <c r="F225" s="4" t="s">
        <v>115</v>
      </c>
      <c r="G225" s="4" t="s">
        <v>33</v>
      </c>
      <c r="H225" s="8">
        <v>4</v>
      </c>
      <c r="I225" s="33">
        <v>79.989999999999995</v>
      </c>
      <c r="J225" s="4" t="s">
        <v>26</v>
      </c>
      <c r="K225" s="4" t="s">
        <v>21</v>
      </c>
      <c r="L225" s="4" t="s">
        <v>22</v>
      </c>
      <c r="M225" s="5">
        <v>45288</v>
      </c>
      <c r="N225" s="33">
        <v>319.95999999999998</v>
      </c>
    </row>
    <row r="226" spans="1:14" ht="14.5">
      <c r="A226" s="4" t="s">
        <v>392</v>
      </c>
      <c r="B226" s="5">
        <v>45748</v>
      </c>
      <c r="C226" s="4" t="s">
        <v>102</v>
      </c>
      <c r="D226" s="4" t="s">
        <v>103</v>
      </c>
      <c r="E226" s="4" t="s">
        <v>80</v>
      </c>
      <c r="F226" s="4" t="s">
        <v>81</v>
      </c>
      <c r="G226" s="4" t="s">
        <v>19</v>
      </c>
      <c r="H226" s="8">
        <v>2</v>
      </c>
      <c r="I226" s="33">
        <v>699.99</v>
      </c>
      <c r="J226" s="4" t="s">
        <v>34</v>
      </c>
      <c r="K226" s="4" t="s">
        <v>40</v>
      </c>
      <c r="L226" s="4" t="s">
        <v>36</v>
      </c>
      <c r="M226" s="5">
        <v>44618</v>
      </c>
      <c r="N226" s="33">
        <v>1399.98</v>
      </c>
    </row>
    <row r="227" spans="1:14" ht="14.5">
      <c r="A227" s="4" t="s">
        <v>292</v>
      </c>
      <c r="B227" s="5">
        <v>45622</v>
      </c>
      <c r="C227" s="4" t="s">
        <v>293</v>
      </c>
      <c r="D227" s="4" t="s">
        <v>294</v>
      </c>
      <c r="E227" s="4" t="s">
        <v>17</v>
      </c>
      <c r="F227" s="4" t="s">
        <v>18</v>
      </c>
      <c r="G227" s="4" t="s">
        <v>19</v>
      </c>
      <c r="H227" s="8">
        <v>5</v>
      </c>
      <c r="I227" s="33">
        <v>249.99</v>
      </c>
      <c r="J227" s="4" t="s">
        <v>26</v>
      </c>
      <c r="K227" s="4" t="s">
        <v>40</v>
      </c>
      <c r="L227" s="4" t="s">
        <v>22</v>
      </c>
      <c r="M227" s="5">
        <v>44873</v>
      </c>
      <c r="N227" s="33">
        <v>1249.95</v>
      </c>
    </row>
    <row r="228" spans="1:14" ht="14.5">
      <c r="A228" s="4" t="s">
        <v>334</v>
      </c>
      <c r="B228" s="5">
        <v>45670</v>
      </c>
      <c r="C228" s="4" t="s">
        <v>293</v>
      </c>
      <c r="D228" s="4" t="s">
        <v>294</v>
      </c>
      <c r="E228" s="4" t="s">
        <v>114</v>
      </c>
      <c r="F228" s="4" t="s">
        <v>115</v>
      </c>
      <c r="G228" s="4" t="s">
        <v>33</v>
      </c>
      <c r="H228" s="8">
        <v>1</v>
      </c>
      <c r="I228" s="33">
        <v>79.989999999999995</v>
      </c>
      <c r="J228" s="4" t="s">
        <v>26</v>
      </c>
      <c r="K228" s="4" t="s">
        <v>35</v>
      </c>
      <c r="L228" s="4" t="s">
        <v>22</v>
      </c>
      <c r="M228" s="5">
        <v>45322</v>
      </c>
      <c r="N228" s="33">
        <v>79.989999999999995</v>
      </c>
    </row>
    <row r="229" spans="1:14" ht="14.5">
      <c r="A229" s="4" t="s">
        <v>347</v>
      </c>
      <c r="B229" s="5">
        <v>45686</v>
      </c>
      <c r="C229" s="4" t="s">
        <v>293</v>
      </c>
      <c r="D229" s="4" t="s">
        <v>294</v>
      </c>
      <c r="E229" s="4" t="s">
        <v>80</v>
      </c>
      <c r="F229" s="4" t="s">
        <v>81</v>
      </c>
      <c r="G229" s="4" t="s">
        <v>19</v>
      </c>
      <c r="H229" s="8">
        <v>2</v>
      </c>
      <c r="I229" s="33">
        <v>699.99</v>
      </c>
      <c r="J229" s="4" t="s">
        <v>57</v>
      </c>
      <c r="K229" s="4" t="s">
        <v>21</v>
      </c>
      <c r="L229" s="4" t="s">
        <v>27</v>
      </c>
      <c r="M229" s="5">
        <v>44681</v>
      </c>
      <c r="N229" s="33">
        <v>1399.98</v>
      </c>
    </row>
    <row r="230" spans="1:14" ht="14.5">
      <c r="A230" s="4" t="s">
        <v>396</v>
      </c>
      <c r="B230" s="5">
        <v>45758</v>
      </c>
      <c r="C230" s="4" t="s">
        <v>293</v>
      </c>
      <c r="D230" s="4" t="s">
        <v>294</v>
      </c>
      <c r="E230" s="4" t="s">
        <v>80</v>
      </c>
      <c r="F230" s="4" t="s">
        <v>81</v>
      </c>
      <c r="G230" s="4" t="s">
        <v>19</v>
      </c>
      <c r="H230" s="8">
        <v>3</v>
      </c>
      <c r="I230" s="33">
        <v>699.99</v>
      </c>
      <c r="J230" s="4" t="s">
        <v>34</v>
      </c>
      <c r="K230" s="4" t="s">
        <v>40</v>
      </c>
      <c r="L230" s="4" t="s">
        <v>22</v>
      </c>
      <c r="M230" s="5">
        <v>44909</v>
      </c>
      <c r="N230" s="33">
        <v>2099.9699999999998</v>
      </c>
    </row>
    <row r="231" spans="1:14" ht="14.5">
      <c r="A231" s="4" t="s">
        <v>37</v>
      </c>
      <c r="B231" s="5">
        <v>45400</v>
      </c>
      <c r="C231" s="4" t="s">
        <v>38</v>
      </c>
      <c r="D231" s="4" t="s">
        <v>39</v>
      </c>
      <c r="E231" s="4" t="s">
        <v>31</v>
      </c>
      <c r="F231" s="4" t="s">
        <v>32</v>
      </c>
      <c r="G231" s="4" t="s">
        <v>33</v>
      </c>
      <c r="H231" s="8">
        <v>3</v>
      </c>
      <c r="I231" s="33">
        <v>59.99</v>
      </c>
      <c r="J231" s="4" t="s">
        <v>20</v>
      </c>
      <c r="K231" s="4" t="s">
        <v>40</v>
      </c>
      <c r="L231" s="4" t="s">
        <v>27</v>
      </c>
      <c r="M231" s="5">
        <v>45114</v>
      </c>
      <c r="N231" s="33">
        <v>179.97</v>
      </c>
    </row>
    <row r="232" spans="1:14" ht="14.5">
      <c r="A232" s="4" t="s">
        <v>70</v>
      </c>
      <c r="B232" s="5">
        <v>45408</v>
      </c>
      <c r="C232" s="4" t="s">
        <v>38</v>
      </c>
      <c r="D232" s="4" t="s">
        <v>39</v>
      </c>
      <c r="E232" s="4" t="s">
        <v>44</v>
      </c>
      <c r="F232" s="4" t="s">
        <v>45</v>
      </c>
      <c r="G232" s="4" t="s">
        <v>46</v>
      </c>
      <c r="H232" s="8">
        <v>5</v>
      </c>
      <c r="I232" s="33">
        <v>149.99</v>
      </c>
      <c r="J232" s="4" t="s">
        <v>57</v>
      </c>
      <c r="K232" s="4" t="s">
        <v>40</v>
      </c>
      <c r="L232" s="4" t="s">
        <v>22</v>
      </c>
      <c r="M232" s="5">
        <v>44830</v>
      </c>
      <c r="N232" s="33">
        <v>749.95</v>
      </c>
    </row>
    <row r="233" spans="1:14" ht="14.5">
      <c r="A233" s="4" t="s">
        <v>175</v>
      </c>
      <c r="B233" s="5">
        <v>45471</v>
      </c>
      <c r="C233" s="4" t="s">
        <v>38</v>
      </c>
      <c r="D233" s="4" t="s">
        <v>39</v>
      </c>
      <c r="E233" s="4" t="s">
        <v>80</v>
      </c>
      <c r="F233" s="4" t="s">
        <v>81</v>
      </c>
      <c r="G233" s="4" t="s">
        <v>19</v>
      </c>
      <c r="H233" s="8">
        <v>3</v>
      </c>
      <c r="I233" s="33">
        <v>699.99</v>
      </c>
      <c r="J233" s="4" t="s">
        <v>26</v>
      </c>
      <c r="K233" s="4" t="s">
        <v>63</v>
      </c>
      <c r="L233" s="4" t="s">
        <v>27</v>
      </c>
      <c r="M233" s="5">
        <v>45102</v>
      </c>
      <c r="N233" s="33">
        <v>2099.9699999999998</v>
      </c>
    </row>
    <row r="234" spans="1:14" ht="14.5">
      <c r="A234" s="4" t="s">
        <v>219</v>
      </c>
      <c r="B234" s="5">
        <v>45517</v>
      </c>
      <c r="C234" s="4" t="s">
        <v>38</v>
      </c>
      <c r="D234" s="4" t="s">
        <v>39</v>
      </c>
      <c r="E234" s="4" t="s">
        <v>126</v>
      </c>
      <c r="F234" s="4" t="s">
        <v>127</v>
      </c>
      <c r="G234" s="4" t="s">
        <v>46</v>
      </c>
      <c r="H234" s="8">
        <v>4</v>
      </c>
      <c r="I234" s="33">
        <v>199.99</v>
      </c>
      <c r="J234" s="4" t="s">
        <v>20</v>
      </c>
      <c r="K234" s="4" t="s">
        <v>40</v>
      </c>
      <c r="L234" s="4" t="s">
        <v>36</v>
      </c>
      <c r="M234" s="5">
        <v>44458</v>
      </c>
      <c r="N234" s="33">
        <v>799.96</v>
      </c>
    </row>
    <row r="235" spans="1:14" ht="14.5">
      <c r="A235" s="4" t="s">
        <v>244</v>
      </c>
      <c r="B235" s="5">
        <v>45548</v>
      </c>
      <c r="C235" s="4" t="s">
        <v>38</v>
      </c>
      <c r="D235" s="4" t="s">
        <v>39</v>
      </c>
      <c r="E235" s="4" t="s">
        <v>117</v>
      </c>
      <c r="F235" s="4" t="s">
        <v>118</v>
      </c>
      <c r="G235" s="4" t="s">
        <v>19</v>
      </c>
      <c r="H235" s="8">
        <v>2</v>
      </c>
      <c r="I235" s="33">
        <v>89.99</v>
      </c>
      <c r="J235" s="4" t="s">
        <v>26</v>
      </c>
      <c r="K235" s="4" t="s">
        <v>35</v>
      </c>
      <c r="L235" s="4" t="s">
        <v>27</v>
      </c>
      <c r="M235" s="5">
        <v>44641</v>
      </c>
      <c r="N235" s="33">
        <v>179.98</v>
      </c>
    </row>
    <row r="236" spans="1:14" ht="14.5">
      <c r="A236" s="4" t="s">
        <v>273</v>
      </c>
      <c r="B236" s="5">
        <v>45588</v>
      </c>
      <c r="C236" s="4" t="s">
        <v>38</v>
      </c>
      <c r="D236" s="4" t="s">
        <v>39</v>
      </c>
      <c r="E236" s="4" t="s">
        <v>52</v>
      </c>
      <c r="F236" s="4" t="s">
        <v>53</v>
      </c>
      <c r="G236" s="4" t="s">
        <v>19</v>
      </c>
      <c r="H236" s="8">
        <v>2</v>
      </c>
      <c r="I236" s="33">
        <v>149.99</v>
      </c>
      <c r="J236" s="4" t="s">
        <v>34</v>
      </c>
      <c r="K236" s="4" t="s">
        <v>21</v>
      </c>
      <c r="L236" s="4" t="s">
        <v>22</v>
      </c>
      <c r="M236" s="5">
        <v>44473</v>
      </c>
      <c r="N236" s="33">
        <v>299.98</v>
      </c>
    </row>
    <row r="237" spans="1:14" ht="14.5">
      <c r="A237" s="4" t="s">
        <v>195</v>
      </c>
      <c r="B237" s="5">
        <v>45490</v>
      </c>
      <c r="C237" s="4" t="s">
        <v>196</v>
      </c>
      <c r="D237" s="4" t="s">
        <v>197</v>
      </c>
      <c r="E237" s="4" t="s">
        <v>31</v>
      </c>
      <c r="F237" s="4" t="s">
        <v>32</v>
      </c>
      <c r="G237" s="4" t="s">
        <v>33</v>
      </c>
      <c r="H237" s="8">
        <v>3</v>
      </c>
      <c r="I237" s="33">
        <v>59.99</v>
      </c>
      <c r="J237" s="4" t="s">
        <v>26</v>
      </c>
      <c r="K237" s="4" t="s">
        <v>50</v>
      </c>
      <c r="L237" s="4" t="s">
        <v>22</v>
      </c>
      <c r="M237" s="5">
        <v>45130</v>
      </c>
      <c r="N237" s="33">
        <v>179.97</v>
      </c>
    </row>
    <row r="238" spans="1:14" ht="14.5">
      <c r="A238" s="4" t="s">
        <v>203</v>
      </c>
      <c r="B238" s="5">
        <v>45498</v>
      </c>
      <c r="C238" s="4" t="s">
        <v>196</v>
      </c>
      <c r="D238" s="4" t="s">
        <v>197</v>
      </c>
      <c r="E238" s="4" t="s">
        <v>17</v>
      </c>
      <c r="F238" s="4" t="s">
        <v>18</v>
      </c>
      <c r="G238" s="4" t="s">
        <v>19</v>
      </c>
      <c r="H238" s="8">
        <v>4</v>
      </c>
      <c r="I238" s="33">
        <v>249.99</v>
      </c>
      <c r="J238" s="4" t="s">
        <v>57</v>
      </c>
      <c r="K238" s="4" t="s">
        <v>21</v>
      </c>
      <c r="L238" s="4" t="s">
        <v>36</v>
      </c>
      <c r="M238" s="5">
        <v>45127</v>
      </c>
      <c r="N238" s="33">
        <v>999.96</v>
      </c>
    </row>
    <row r="239" spans="1:14" ht="14.5">
      <c r="A239" s="4" t="s">
        <v>222</v>
      </c>
      <c r="B239" s="5">
        <v>45523</v>
      </c>
      <c r="C239" s="4" t="s">
        <v>196</v>
      </c>
      <c r="D239" s="4" t="s">
        <v>197</v>
      </c>
      <c r="E239" s="4" t="s">
        <v>61</v>
      </c>
      <c r="F239" s="4" t="s">
        <v>62</v>
      </c>
      <c r="G239" s="4" t="s">
        <v>19</v>
      </c>
      <c r="H239" s="8">
        <v>5</v>
      </c>
      <c r="I239" s="33">
        <v>899.99</v>
      </c>
      <c r="J239" s="4" t="s">
        <v>57</v>
      </c>
      <c r="K239" s="4" t="s">
        <v>63</v>
      </c>
      <c r="L239" s="4" t="s">
        <v>22</v>
      </c>
      <c r="M239" s="5">
        <v>44526</v>
      </c>
      <c r="N239" s="33">
        <v>4499.95</v>
      </c>
    </row>
    <row r="240" spans="1:14" ht="14.5">
      <c r="A240" s="4" t="s">
        <v>229</v>
      </c>
      <c r="B240" s="5">
        <v>45532</v>
      </c>
      <c r="C240" s="4" t="s">
        <v>196</v>
      </c>
      <c r="D240" s="4" t="s">
        <v>197</v>
      </c>
      <c r="E240" s="4" t="s">
        <v>80</v>
      </c>
      <c r="F240" s="4" t="s">
        <v>81</v>
      </c>
      <c r="G240" s="4" t="s">
        <v>19</v>
      </c>
      <c r="H240" s="8">
        <v>1</v>
      </c>
      <c r="I240" s="33">
        <v>699.99</v>
      </c>
      <c r="J240" s="4" t="s">
        <v>20</v>
      </c>
      <c r="K240" s="4" t="s">
        <v>21</v>
      </c>
      <c r="L240" s="4" t="s">
        <v>27</v>
      </c>
      <c r="M240" s="5">
        <v>44497</v>
      </c>
      <c r="N240" s="33">
        <v>699.99</v>
      </c>
    </row>
    <row r="241" spans="1:14" ht="14.5">
      <c r="A241" s="4" t="s">
        <v>92</v>
      </c>
      <c r="B241" s="5">
        <v>45410</v>
      </c>
      <c r="C241" s="4" t="s">
        <v>93</v>
      </c>
      <c r="D241" s="4" t="s">
        <v>94</v>
      </c>
      <c r="E241" s="4" t="s">
        <v>17</v>
      </c>
      <c r="F241" s="4" t="s">
        <v>18</v>
      </c>
      <c r="G241" s="4" t="s">
        <v>19</v>
      </c>
      <c r="H241" s="8">
        <v>3</v>
      </c>
      <c r="I241" s="33">
        <v>249.99</v>
      </c>
      <c r="J241" s="4" t="s">
        <v>26</v>
      </c>
      <c r="K241" s="4" t="s">
        <v>40</v>
      </c>
      <c r="L241" s="4" t="s">
        <v>27</v>
      </c>
      <c r="M241" s="5">
        <v>45224</v>
      </c>
      <c r="N241" s="33">
        <v>749.97</v>
      </c>
    </row>
    <row r="242" spans="1:14" ht="14.5">
      <c r="A242" s="4" t="s">
        <v>331</v>
      </c>
      <c r="B242" s="5">
        <v>45667</v>
      </c>
      <c r="C242" s="4" t="s">
        <v>93</v>
      </c>
      <c r="D242" s="4" t="s">
        <v>94</v>
      </c>
      <c r="E242" s="4" t="s">
        <v>17</v>
      </c>
      <c r="F242" s="4" t="s">
        <v>18</v>
      </c>
      <c r="G242" s="4" t="s">
        <v>19</v>
      </c>
      <c r="H242" s="8">
        <v>5</v>
      </c>
      <c r="I242" s="33">
        <v>249.99</v>
      </c>
      <c r="J242" s="4" t="s">
        <v>26</v>
      </c>
      <c r="K242" s="4" t="s">
        <v>35</v>
      </c>
      <c r="L242" s="4" t="s">
        <v>22</v>
      </c>
      <c r="M242" s="5">
        <v>45330</v>
      </c>
      <c r="N242" s="33">
        <v>1249.95</v>
      </c>
    </row>
    <row r="243" spans="1:14" ht="14.5">
      <c r="A243" s="4" t="s">
        <v>353</v>
      </c>
      <c r="B243" s="5">
        <v>45695</v>
      </c>
      <c r="C243" s="4" t="s">
        <v>93</v>
      </c>
      <c r="D243" s="4" t="s">
        <v>94</v>
      </c>
      <c r="E243" s="4" t="s">
        <v>105</v>
      </c>
      <c r="F243" s="4" t="s">
        <v>106</v>
      </c>
      <c r="G243" s="4" t="s">
        <v>46</v>
      </c>
      <c r="H243" s="8">
        <v>5</v>
      </c>
      <c r="I243" s="33">
        <v>299.99</v>
      </c>
      <c r="J243" s="4" t="s">
        <v>26</v>
      </c>
      <c r="K243" s="4" t="s">
        <v>35</v>
      </c>
      <c r="L243" s="4" t="s">
        <v>22</v>
      </c>
      <c r="M243" s="5">
        <v>44959</v>
      </c>
      <c r="N243" s="33">
        <v>1499.95</v>
      </c>
    </row>
    <row r="244" spans="1:14" ht="14.5">
      <c r="A244" s="4" t="s">
        <v>370</v>
      </c>
      <c r="B244" s="5">
        <v>45715</v>
      </c>
      <c r="C244" s="4" t="s">
        <v>93</v>
      </c>
      <c r="D244" s="4" t="s">
        <v>94</v>
      </c>
      <c r="E244" s="4" t="s">
        <v>105</v>
      </c>
      <c r="F244" s="4" t="s">
        <v>106</v>
      </c>
      <c r="G244" s="4" t="s">
        <v>46</v>
      </c>
      <c r="H244" s="8">
        <v>2</v>
      </c>
      <c r="I244" s="33">
        <v>299.99</v>
      </c>
      <c r="J244" s="4" t="s">
        <v>34</v>
      </c>
      <c r="K244" s="4" t="s">
        <v>35</v>
      </c>
      <c r="L244" s="4" t="s">
        <v>22</v>
      </c>
      <c r="M244" s="5">
        <v>44576</v>
      </c>
      <c r="N244" s="33">
        <v>599.98</v>
      </c>
    </row>
    <row r="245" spans="1:14" ht="14.5">
      <c r="A245" s="4" t="s">
        <v>390</v>
      </c>
      <c r="B245" s="5">
        <v>45746</v>
      </c>
      <c r="C245" s="4" t="s">
        <v>93</v>
      </c>
      <c r="D245" s="4" t="s">
        <v>94</v>
      </c>
      <c r="E245" s="4" t="s">
        <v>44</v>
      </c>
      <c r="F245" s="4" t="s">
        <v>45</v>
      </c>
      <c r="G245" s="4" t="s">
        <v>46</v>
      </c>
      <c r="H245" s="8">
        <v>3</v>
      </c>
      <c r="I245" s="33">
        <v>149.99</v>
      </c>
      <c r="J245" s="4" t="s">
        <v>34</v>
      </c>
      <c r="K245" s="4" t="s">
        <v>21</v>
      </c>
      <c r="L245" s="4" t="s">
        <v>36</v>
      </c>
      <c r="M245" s="5">
        <v>45171</v>
      </c>
      <c r="N245" s="33">
        <v>449.97</v>
      </c>
    </row>
    <row r="246" spans="1:14" ht="14.5">
      <c r="A246" s="4" t="s">
        <v>394</v>
      </c>
      <c r="B246" s="5">
        <v>45755</v>
      </c>
      <c r="C246" s="4" t="s">
        <v>93</v>
      </c>
      <c r="D246" s="4" t="s">
        <v>94</v>
      </c>
      <c r="E246" s="4" t="s">
        <v>114</v>
      </c>
      <c r="F246" s="4" t="s">
        <v>115</v>
      </c>
      <c r="G246" s="4" t="s">
        <v>33</v>
      </c>
      <c r="H246" s="8">
        <v>3</v>
      </c>
      <c r="I246" s="33">
        <v>79.989999999999995</v>
      </c>
      <c r="J246" s="4" t="s">
        <v>26</v>
      </c>
      <c r="K246" s="4" t="s">
        <v>40</v>
      </c>
      <c r="L246" s="4" t="s">
        <v>22</v>
      </c>
      <c r="M246" s="5">
        <v>44511</v>
      </c>
      <c r="N246" s="33">
        <v>239.97</v>
      </c>
    </row>
    <row r="247" spans="1:14" ht="14.5">
      <c r="A247" s="4" t="s">
        <v>170</v>
      </c>
      <c r="B247" s="5">
        <v>45468</v>
      </c>
      <c r="C247" s="4" t="s">
        <v>171</v>
      </c>
      <c r="D247" s="4" t="s">
        <v>172</v>
      </c>
      <c r="E247" s="4" t="s">
        <v>117</v>
      </c>
      <c r="F247" s="4" t="s">
        <v>118</v>
      </c>
      <c r="G247" s="4" t="s">
        <v>19</v>
      </c>
      <c r="H247" s="8">
        <v>4</v>
      </c>
      <c r="I247" s="33">
        <v>89.99</v>
      </c>
      <c r="J247" s="4" t="s">
        <v>57</v>
      </c>
      <c r="K247" s="4" t="s">
        <v>35</v>
      </c>
      <c r="L247" s="4" t="s">
        <v>22</v>
      </c>
      <c r="M247" s="5">
        <v>45281</v>
      </c>
      <c r="N247" s="33">
        <v>359.96</v>
      </c>
    </row>
    <row r="248" spans="1:14" ht="14.5">
      <c r="A248" s="4" t="s">
        <v>189</v>
      </c>
      <c r="B248" s="5">
        <v>45482</v>
      </c>
      <c r="C248" s="4" t="s">
        <v>171</v>
      </c>
      <c r="D248" s="4" t="s">
        <v>172</v>
      </c>
      <c r="E248" s="4" t="s">
        <v>31</v>
      </c>
      <c r="F248" s="4" t="s">
        <v>32</v>
      </c>
      <c r="G248" s="4" t="s">
        <v>33</v>
      </c>
      <c r="H248" s="8">
        <v>4</v>
      </c>
      <c r="I248" s="33">
        <v>59.99</v>
      </c>
      <c r="J248" s="4" t="s">
        <v>20</v>
      </c>
      <c r="K248" s="4" t="s">
        <v>35</v>
      </c>
      <c r="L248" s="4" t="s">
        <v>36</v>
      </c>
      <c r="M248" s="5">
        <v>44509</v>
      </c>
      <c r="N248" s="33">
        <v>239.96</v>
      </c>
    </row>
    <row r="249" spans="1:14" ht="14.5">
      <c r="A249" s="4" t="s">
        <v>269</v>
      </c>
      <c r="B249" s="5">
        <v>45581</v>
      </c>
      <c r="C249" s="4" t="s">
        <v>171</v>
      </c>
      <c r="D249" s="4" t="s">
        <v>172</v>
      </c>
      <c r="E249" s="4" t="s">
        <v>80</v>
      </c>
      <c r="F249" s="4" t="s">
        <v>81</v>
      </c>
      <c r="G249" s="4" t="s">
        <v>19</v>
      </c>
      <c r="H249" s="8">
        <v>4</v>
      </c>
      <c r="I249" s="33">
        <v>699.99</v>
      </c>
      <c r="J249" s="4" t="s">
        <v>26</v>
      </c>
      <c r="K249" s="4" t="s">
        <v>21</v>
      </c>
      <c r="L249" s="4" t="s">
        <v>22</v>
      </c>
      <c r="M249" s="5">
        <v>45385</v>
      </c>
      <c r="N249" s="33">
        <v>2799.96</v>
      </c>
    </row>
    <row r="250" spans="1:14" ht="14.5">
      <c r="A250" s="4" t="s">
        <v>276</v>
      </c>
      <c r="B250" s="5">
        <v>45592</v>
      </c>
      <c r="C250" s="4" t="s">
        <v>171</v>
      </c>
      <c r="D250" s="4" t="s">
        <v>172</v>
      </c>
      <c r="E250" s="4" t="s">
        <v>117</v>
      </c>
      <c r="F250" s="4" t="s">
        <v>118</v>
      </c>
      <c r="G250" s="4" t="s">
        <v>19</v>
      </c>
      <c r="H250" s="8">
        <v>3</v>
      </c>
      <c r="I250" s="33">
        <v>89.99</v>
      </c>
      <c r="J250" s="4" t="s">
        <v>26</v>
      </c>
      <c r="K250" s="4" t="s">
        <v>40</v>
      </c>
      <c r="L250" s="4" t="s">
        <v>36</v>
      </c>
      <c r="M250" s="5">
        <v>44615</v>
      </c>
      <c r="N250" s="33">
        <v>269.97000000000003</v>
      </c>
    </row>
    <row r="251" spans="1:14" ht="14.5">
      <c r="A251" s="4" t="s">
        <v>161</v>
      </c>
      <c r="B251" s="5">
        <v>45452</v>
      </c>
      <c r="C251" s="4" t="s">
        <v>162</v>
      </c>
      <c r="D251" s="4" t="s">
        <v>163</v>
      </c>
      <c r="E251" s="4" t="s">
        <v>31</v>
      </c>
      <c r="F251" s="4" t="s">
        <v>32</v>
      </c>
      <c r="G251" s="4" t="s">
        <v>33</v>
      </c>
      <c r="H251" s="8">
        <v>4</v>
      </c>
      <c r="I251" s="33">
        <v>59.99</v>
      </c>
      <c r="J251" s="4" t="s">
        <v>20</v>
      </c>
      <c r="K251" s="4" t="s">
        <v>63</v>
      </c>
      <c r="L251" s="4" t="s">
        <v>36</v>
      </c>
      <c r="M251" s="5">
        <v>44435</v>
      </c>
      <c r="N251" s="33">
        <v>239.96</v>
      </c>
    </row>
  </sheetData>
  <scenarios current="0" sqref="A12">
    <scenario name="15% OFF" locked="1" count="1" user="ASUS" comment="Created by ASUS on 09-04-2026">
      <inputCells r="N2" val="0.15" numFmtId="165"/>
    </scenario>
  </scenario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zoomScale="110" workbookViewId="0">
      <selection activeCell="B8" sqref="B8"/>
    </sheetView>
  </sheetViews>
  <sheetFormatPr defaultRowHeight="14"/>
  <cols>
    <col min="1" max="1" width="32.4140625" customWidth="1"/>
    <col min="2" max="2" width="15.33203125" bestFit="1" customWidth="1"/>
    <col min="3" max="3" width="22" customWidth="1"/>
    <col min="4" max="4" width="20.33203125" customWidth="1"/>
    <col min="6" max="6" width="8.6640625" customWidth="1"/>
  </cols>
  <sheetData>
    <row r="1" spans="1:6" ht="18" customHeight="1">
      <c r="A1" s="81" t="s">
        <v>434</v>
      </c>
      <c r="B1" s="82"/>
      <c r="C1" s="45"/>
      <c r="D1" s="45"/>
      <c r="E1" s="36"/>
      <c r="F1" s="36"/>
    </row>
    <row r="3" spans="1:6">
      <c r="A3" s="83" t="s">
        <v>435</v>
      </c>
      <c r="B3" s="84"/>
      <c r="C3" s="44"/>
      <c r="D3" s="44"/>
    </row>
    <row r="5" spans="1:6">
      <c r="A5" s="46" t="s">
        <v>436</v>
      </c>
      <c r="B5" s="47">
        <f ca="1">TODAY()</f>
        <v>46129</v>
      </c>
    </row>
    <row r="6" spans="1:6">
      <c r="A6" s="46" t="s">
        <v>437</v>
      </c>
      <c r="B6" s="48">
        <f ca="1">NOW()</f>
        <v>46129.421591087965</v>
      </c>
    </row>
    <row r="7" spans="1:6">
      <c r="A7" s="46" t="s">
        <v>439</v>
      </c>
      <c r="B7" s="46">
        <f ca="1">DATEDIF(Dataset!M2,TODAY(),"Y")</f>
        <v>4</v>
      </c>
    </row>
    <row r="8" spans="1:6">
      <c r="A8" s="46" t="s">
        <v>438</v>
      </c>
      <c r="B8" s="46">
        <f>EOMONTH(Dataset!B2,0)</f>
        <v>45747</v>
      </c>
    </row>
  </sheetData>
  <mergeCells count="2">
    <mergeCell ref="A1:B1"/>
    <mergeCell ref="A3: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36"/>
  <sheetViews>
    <sheetView zoomScale="66" zoomScaleNormal="66" workbookViewId="0">
      <selection sqref="A1:AG1"/>
    </sheetView>
  </sheetViews>
  <sheetFormatPr defaultRowHeight="14"/>
  <cols>
    <col min="2" max="2" width="12.25" bestFit="1" customWidth="1"/>
    <col min="3" max="3" width="15.58203125" bestFit="1" customWidth="1"/>
    <col min="4" max="4" width="9.75" bestFit="1" customWidth="1"/>
    <col min="5" max="5" width="17.6640625" customWidth="1"/>
    <col min="6" max="6" width="10" bestFit="1" customWidth="1"/>
    <col min="7" max="7" width="7.6640625" bestFit="1" customWidth="1"/>
    <col min="8" max="8" width="14.58203125" customWidth="1"/>
    <col min="11" max="11" width="12.25" bestFit="1" customWidth="1"/>
    <col min="12" max="12" width="17.75" bestFit="1" customWidth="1"/>
    <col min="13" max="13" width="9.75" bestFit="1" customWidth="1"/>
    <col min="14" max="14" width="13.08203125" bestFit="1" customWidth="1"/>
    <col min="15" max="15" width="8.33203125" bestFit="1" customWidth="1"/>
    <col min="16" max="16" width="7.6640625" bestFit="1" customWidth="1"/>
    <col min="17" max="17" width="11.9140625" bestFit="1" customWidth="1"/>
    <col min="20" max="20" width="13.08203125" bestFit="1" customWidth="1"/>
    <col min="21" max="21" width="10.9140625" style="1" customWidth="1"/>
    <col min="22" max="22" width="11.58203125" bestFit="1" customWidth="1"/>
    <col min="23" max="23" width="14.9140625" customWidth="1"/>
    <col min="24" max="24" width="10" bestFit="1" customWidth="1"/>
    <col min="25" max="25" width="13.08203125" bestFit="1" customWidth="1"/>
    <col min="26" max="26" width="10.08203125" customWidth="1"/>
    <col min="27" max="27" width="8" bestFit="1" customWidth="1"/>
    <col min="28" max="28" width="9.25" bestFit="1" customWidth="1"/>
    <col min="29" max="29" width="15.08203125" bestFit="1" customWidth="1"/>
    <col min="30" max="30" width="6.9140625" customWidth="1"/>
    <col min="31" max="31" width="17.08203125" bestFit="1" customWidth="1"/>
    <col min="32" max="32" width="14.4140625" style="1" bestFit="1" customWidth="1"/>
    <col min="33" max="33" width="12.33203125" bestFit="1" customWidth="1"/>
  </cols>
  <sheetData>
    <row r="1" spans="1:33" ht="21" customHeight="1">
      <c r="A1" s="87" t="s">
        <v>491</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row>
    <row r="4" spans="1:33">
      <c r="B4" s="85" t="s">
        <v>448</v>
      </c>
      <c r="C4" s="85"/>
      <c r="D4" s="85"/>
      <c r="E4" s="85"/>
      <c r="F4" s="85"/>
      <c r="G4" s="85"/>
      <c r="H4" s="85"/>
      <c r="K4" s="86" t="s">
        <v>449</v>
      </c>
      <c r="L4" s="86"/>
      <c r="M4" s="86"/>
      <c r="N4" s="86"/>
      <c r="O4" s="86"/>
      <c r="P4" s="86"/>
      <c r="Q4" s="86"/>
      <c r="T4" s="86" t="s">
        <v>447</v>
      </c>
      <c r="U4" s="86"/>
      <c r="V4" s="86"/>
      <c r="W4" s="86"/>
      <c r="X4" s="86"/>
      <c r="Y4" s="86"/>
      <c r="Z4" s="86"/>
      <c r="AA4" s="86"/>
      <c r="AB4" s="86"/>
      <c r="AC4" s="86"/>
      <c r="AD4" s="86"/>
      <c r="AE4" s="86"/>
      <c r="AF4" s="86"/>
      <c r="AG4" s="86"/>
    </row>
    <row r="5" spans="1:33">
      <c r="B5" s="50" t="s">
        <v>432</v>
      </c>
      <c r="C5" s="50" t="s">
        <v>433</v>
      </c>
      <c r="D5" s="50" t="str">
        <f>Table1[[#Headers],[Product_ID]]</f>
        <v>Product_ID</v>
      </c>
      <c r="E5" s="50" t="str">
        <f>Table1[[#Headers],[Product_Name]]</f>
        <v>Product_Name</v>
      </c>
      <c r="F5" s="50" t="str">
        <f>Table1[[#Headers],[Category]]</f>
        <v>Category</v>
      </c>
      <c r="G5" s="51" t="str">
        <f>Table1[[#Headers],[Quantity]]</f>
        <v>Quantity</v>
      </c>
      <c r="H5" s="52" t="str">
        <f>Table1[[#Headers],[Total_Amount]]</f>
        <v>Total_Amount</v>
      </c>
      <c r="K5" s="49" t="s">
        <v>432</v>
      </c>
      <c r="L5" s="49" t="s">
        <v>433</v>
      </c>
      <c r="M5" s="49" t="str">
        <f>Table1[[#Headers],[Product_ID]]</f>
        <v>Product_ID</v>
      </c>
      <c r="N5" s="49" t="str">
        <f>Table1[[#Headers],[Product_Name]]</f>
        <v>Product_Name</v>
      </c>
      <c r="O5" s="49" t="str">
        <f>Table1[[#Headers],[Category]]</f>
        <v>Category</v>
      </c>
      <c r="P5" s="53" t="str">
        <f>Table1[[#Headers],[Quantity]]</f>
        <v>Quantity</v>
      </c>
      <c r="Q5" s="54" t="str">
        <f>Table1[[#Headers],[Total_Amount]]</f>
        <v>Total_Amount</v>
      </c>
      <c r="T5" s="55" t="str">
        <f>Table1[[#Headers],[Transaction_ID]]</f>
        <v>Transaction_ID</v>
      </c>
      <c r="U5" s="56" t="str">
        <f>Table1[[#Headers],[Date]]</f>
        <v>Date</v>
      </c>
      <c r="V5" s="55" t="str">
        <f>Table1[[#Headers],[Customer_ID]]</f>
        <v>Customer_ID</v>
      </c>
      <c r="W5" s="55" t="str">
        <f>Table1[[#Headers],[Customer_Name]]</f>
        <v>Customer_Name</v>
      </c>
      <c r="X5" s="55" t="str">
        <f>Table1[[#Headers],[Product_ID]]</f>
        <v>Product_ID</v>
      </c>
      <c r="Y5" s="55" t="str">
        <f>Table1[[#Headers],[Product_Name]]</f>
        <v>Product_Name</v>
      </c>
      <c r="Z5" s="55" t="str">
        <f>Table1[[#Headers],[Category]]</f>
        <v>Category</v>
      </c>
      <c r="AA5" s="57" t="str">
        <f>Table1[[#Headers],[Quantity]]</f>
        <v>Quantity</v>
      </c>
      <c r="AB5" s="58" t="str">
        <f>Table1[[#Headers],[Unit_Price]]</f>
        <v>Unit_Price</v>
      </c>
      <c r="AC5" s="55" t="str">
        <f>Table1[[#Headers],[Payment_Method]]</f>
        <v>Payment_Method</v>
      </c>
      <c r="AD5" s="55" t="str">
        <f>Table1[[#Headers],[Region]]</f>
        <v>Region</v>
      </c>
      <c r="AE5" s="55" t="str">
        <f>Table1[[#Headers],[Customer_Segment]]</f>
        <v>Customer_Segment</v>
      </c>
      <c r="AF5" s="56" t="str">
        <f>Table1[[#Headers],[Customer_Since]]</f>
        <v>Customer_Since</v>
      </c>
      <c r="AG5" s="58" t="str">
        <f>Table1[[#Headers],[Total_Amount]]</f>
        <v>Total_Amount</v>
      </c>
    </row>
    <row r="6" spans="1:33">
      <c r="B6" s="10" t="str" cm="1">
        <f t="array" ref="B6:H136">_xlfn._xlws.FILTER(_xlfn.HSTACK(Table1[Customer_ID], Table1[Customer_Name], Table1[Product_ID], Table1[Product_Name], Table1[Category], Table1[Quantity], Table1[Total_Amount]), Table1[Category]="Electronics", "Not Found")</f>
        <v>CUST002</v>
      </c>
      <c r="C6" s="10" t="str">
        <v>Emma Wilson</v>
      </c>
      <c r="D6" s="10" t="str">
        <v>P010</v>
      </c>
      <c r="E6" s="10" t="str">
        <v>Keyboard</v>
      </c>
      <c r="F6" s="10" t="str">
        <v>Electronics</v>
      </c>
      <c r="G6" s="10">
        <v>2</v>
      </c>
      <c r="H6" s="10">
        <v>179.98</v>
      </c>
      <c r="K6" s="10" t="str" cm="1">
        <f t="array" ref="K6:Q81">_xlfn._xlws.FILTER(_xlfn.HSTACK(Table1[Customer_ID],Table1[Customer_Name],Table1[Product_ID],Table1[Product_Name],Table1[Category],Table1[Quantity],Table1[Total_Amount]),Table1[Category]="Furniture","Not Found")</f>
        <v>CUST001</v>
      </c>
      <c r="L6" s="10" t="str">
        <v>John Smith</v>
      </c>
      <c r="M6" s="10" t="str">
        <v>P008</v>
      </c>
      <c r="N6" s="10" t="str">
        <v>Bookshelf</v>
      </c>
      <c r="O6" s="10" t="str">
        <v>Furniture</v>
      </c>
      <c r="P6" s="10">
        <v>4</v>
      </c>
      <c r="Q6" s="10">
        <v>599.96</v>
      </c>
      <c r="T6" s="10" t="str" cm="1">
        <f t="array" ref="T6:AG100">_xlfn._xlws.FILTER(Table1[],Table1[Customer_Segment]="Premium")</f>
        <v>TRX0130</v>
      </c>
      <c r="U6" s="37">
        <v>45430</v>
      </c>
      <c r="V6" s="10" t="str">
        <v>CUST002</v>
      </c>
      <c r="W6" s="10" t="str">
        <v>Emma Wilson</v>
      </c>
      <c r="X6" s="10" t="str">
        <v>P008</v>
      </c>
      <c r="Y6" s="10" t="str">
        <v>Bookshelf</v>
      </c>
      <c r="Z6" s="10" t="str">
        <v>Furniture</v>
      </c>
      <c r="AA6" s="10">
        <v>3</v>
      </c>
      <c r="AB6" s="10">
        <v>149.99</v>
      </c>
      <c r="AC6" s="10" t="str">
        <v>Credit Card</v>
      </c>
      <c r="AD6" s="10" t="str">
        <v>West</v>
      </c>
      <c r="AE6" s="10" t="str">
        <v>Premium</v>
      </c>
      <c r="AF6" s="37">
        <v>45068</v>
      </c>
      <c r="AG6" s="10">
        <v>449.97</v>
      </c>
    </row>
    <row r="7" spans="1:33">
      <c r="B7" s="10" t="str">
        <v>CUST003</v>
      </c>
      <c r="C7" s="10" t="str">
        <v>Michael Brown</v>
      </c>
      <c r="D7" s="10" t="str">
        <v>P002</v>
      </c>
      <c r="E7" s="10" t="str">
        <v>Smartphone</v>
      </c>
      <c r="F7" s="10" t="str">
        <v>Electronics</v>
      </c>
      <c r="G7" s="10">
        <v>2</v>
      </c>
      <c r="H7" s="10">
        <v>1399.98</v>
      </c>
      <c r="K7" s="10" t="str">
        <v>CUST002</v>
      </c>
      <c r="L7" s="10" t="str">
        <v>Emma Wilson</v>
      </c>
      <c r="M7" s="10" t="str">
        <v>P008</v>
      </c>
      <c r="N7" s="10" t="str">
        <v>Bookshelf</v>
      </c>
      <c r="O7" s="10" t="str">
        <v>Furniture</v>
      </c>
      <c r="P7" s="10">
        <v>3</v>
      </c>
      <c r="Q7" s="10">
        <v>449.97</v>
      </c>
      <c r="T7" s="10" t="str">
        <v>TRX0096</v>
      </c>
      <c r="U7" s="37">
        <v>45474</v>
      </c>
      <c r="V7" s="10" t="str">
        <v>CUST002</v>
      </c>
      <c r="W7" s="10" t="str">
        <v>Emma Wilson</v>
      </c>
      <c r="X7" s="10" t="str">
        <v>P010</v>
      </c>
      <c r="Y7" s="10" t="str">
        <v>Keyboard</v>
      </c>
      <c r="Z7" s="10" t="str">
        <v>Electronics</v>
      </c>
      <c r="AA7" s="10">
        <v>2</v>
      </c>
      <c r="AB7" s="10">
        <v>89.99</v>
      </c>
      <c r="AC7" s="10" t="str">
        <v>PayPal</v>
      </c>
      <c r="AD7" s="10" t="str">
        <v>Central</v>
      </c>
      <c r="AE7" s="10" t="str">
        <v>Premium</v>
      </c>
      <c r="AF7" s="37">
        <v>45275</v>
      </c>
      <c r="AG7" s="10">
        <v>179.98</v>
      </c>
    </row>
    <row r="8" spans="1:33">
      <c r="B8" s="10" t="str">
        <v>CUST003</v>
      </c>
      <c r="C8" s="10" t="str">
        <v>Michael Brown</v>
      </c>
      <c r="D8" s="10" t="str">
        <v>P010</v>
      </c>
      <c r="E8" s="10" t="str">
        <v>Keyboard</v>
      </c>
      <c r="F8" s="10" t="str">
        <v>Electronics</v>
      </c>
      <c r="G8" s="10">
        <v>3</v>
      </c>
      <c r="H8" s="10">
        <v>269.97000000000003</v>
      </c>
      <c r="K8" s="10" t="str">
        <v>CUST002</v>
      </c>
      <c r="L8" s="10" t="str">
        <v>Emma Wilson</v>
      </c>
      <c r="M8" s="10" t="str">
        <v>P008</v>
      </c>
      <c r="N8" s="10" t="str">
        <v>Bookshelf</v>
      </c>
      <c r="O8" s="10" t="str">
        <v>Furniture</v>
      </c>
      <c r="P8" s="10">
        <v>2</v>
      </c>
      <c r="Q8" s="10">
        <v>299.98</v>
      </c>
      <c r="T8" s="10" t="str">
        <v>TRX0003</v>
      </c>
      <c r="U8" s="37">
        <v>45737</v>
      </c>
      <c r="V8" s="10" t="str">
        <v>CUST002</v>
      </c>
      <c r="W8" s="10" t="str">
        <v>Emma Wilson</v>
      </c>
      <c r="X8" s="10" t="str">
        <v>P008</v>
      </c>
      <c r="Y8" s="10" t="str">
        <v>Bookshelf</v>
      </c>
      <c r="Z8" s="10" t="str">
        <v>Furniture</v>
      </c>
      <c r="AA8" s="10">
        <v>2</v>
      </c>
      <c r="AB8" s="10">
        <v>149.99</v>
      </c>
      <c r="AC8" s="10" t="str">
        <v>Cash</v>
      </c>
      <c r="AD8" s="10" t="str">
        <v>West</v>
      </c>
      <c r="AE8" s="10" t="str">
        <v>Premium</v>
      </c>
      <c r="AF8" s="37">
        <v>45233</v>
      </c>
      <c r="AG8" s="10">
        <v>299.98</v>
      </c>
    </row>
    <row r="9" spans="1:33">
      <c r="B9" s="10" t="str">
        <v>CUST004</v>
      </c>
      <c r="C9" s="10" t="str">
        <v>Sarah Davis</v>
      </c>
      <c r="D9" s="10" t="str">
        <v>P010</v>
      </c>
      <c r="E9" s="10" t="str">
        <v>Keyboard</v>
      </c>
      <c r="F9" s="10" t="str">
        <v>Electronics</v>
      </c>
      <c r="G9" s="10">
        <v>5</v>
      </c>
      <c r="H9" s="10">
        <v>449.95</v>
      </c>
      <c r="K9" s="10" t="str">
        <v>CUST003</v>
      </c>
      <c r="L9" s="10" t="str">
        <v>Michael Brown</v>
      </c>
      <c r="M9" s="10" t="str">
        <v>P008</v>
      </c>
      <c r="N9" s="10" t="str">
        <v>Bookshelf</v>
      </c>
      <c r="O9" s="10" t="str">
        <v>Furniture</v>
      </c>
      <c r="P9" s="10">
        <v>5</v>
      </c>
      <c r="Q9" s="10">
        <v>749.95</v>
      </c>
      <c r="T9" s="10" t="str">
        <v>TRX0212</v>
      </c>
      <c r="U9" s="37">
        <v>45400</v>
      </c>
      <c r="V9" s="10" t="str">
        <v>CUST003</v>
      </c>
      <c r="W9" s="10" t="str">
        <v>Michael Brown</v>
      </c>
      <c r="X9" s="10" t="str">
        <v>P008</v>
      </c>
      <c r="Y9" s="10" t="str">
        <v>Bookshelf</v>
      </c>
      <c r="Z9" s="10" t="str">
        <v>Furniture</v>
      </c>
      <c r="AA9" s="10">
        <v>5</v>
      </c>
      <c r="AB9" s="10">
        <v>149.99</v>
      </c>
      <c r="AC9" s="10" t="str">
        <v>Credit Card</v>
      </c>
      <c r="AD9" s="10" t="str">
        <v>North</v>
      </c>
      <c r="AE9" s="10" t="str">
        <v>Premium</v>
      </c>
      <c r="AF9" s="37">
        <v>45295</v>
      </c>
      <c r="AG9" s="10">
        <v>749.95</v>
      </c>
    </row>
    <row r="10" spans="1:33">
      <c r="B10" s="10" t="str">
        <v>CUST004</v>
      </c>
      <c r="C10" s="10" t="str">
        <v>Sarah Davis</v>
      </c>
      <c r="D10" s="10" t="str">
        <v>P002</v>
      </c>
      <c r="E10" s="10" t="str">
        <v>Smartphone</v>
      </c>
      <c r="F10" s="10" t="str">
        <v>Electronics</v>
      </c>
      <c r="G10" s="10">
        <v>2</v>
      </c>
      <c r="H10" s="10">
        <v>1399.98</v>
      </c>
      <c r="K10" s="10" t="str">
        <v>CUST003</v>
      </c>
      <c r="L10" s="10" t="str">
        <v>Michael Brown</v>
      </c>
      <c r="M10" s="10" t="str">
        <v>P008</v>
      </c>
      <c r="N10" s="10" t="str">
        <v>Bookshelf</v>
      </c>
      <c r="O10" s="10" t="str">
        <v>Furniture</v>
      </c>
      <c r="P10" s="10">
        <v>2</v>
      </c>
      <c r="Q10" s="10">
        <v>299.98</v>
      </c>
      <c r="T10" s="10" t="str">
        <v>TRX0220</v>
      </c>
      <c r="U10" s="37">
        <v>45450</v>
      </c>
      <c r="V10" s="10" t="str">
        <v>CUST003</v>
      </c>
      <c r="W10" s="10" t="str">
        <v>Michael Brown</v>
      </c>
      <c r="X10" s="10" t="str">
        <v>P008</v>
      </c>
      <c r="Y10" s="10" t="str">
        <v>Bookshelf</v>
      </c>
      <c r="Z10" s="10" t="str">
        <v>Furniture</v>
      </c>
      <c r="AA10" s="10">
        <v>2</v>
      </c>
      <c r="AB10" s="10">
        <v>149.99</v>
      </c>
      <c r="AC10" s="10" t="str">
        <v>Cash</v>
      </c>
      <c r="AD10" s="10" t="str">
        <v>East</v>
      </c>
      <c r="AE10" s="10" t="str">
        <v>Premium</v>
      </c>
      <c r="AF10" s="37">
        <v>44645</v>
      </c>
      <c r="AG10" s="10">
        <v>299.98</v>
      </c>
    </row>
    <row r="11" spans="1:33">
      <c r="B11" s="10" t="str">
        <v>CUST004</v>
      </c>
      <c r="C11" s="10" t="str">
        <v>Sarah Davis</v>
      </c>
      <c r="D11" s="10" t="str">
        <v>P002</v>
      </c>
      <c r="E11" s="10" t="str">
        <v>Smartphone</v>
      </c>
      <c r="F11" s="10" t="str">
        <v>Electronics</v>
      </c>
      <c r="G11" s="10">
        <v>3</v>
      </c>
      <c r="H11" s="10">
        <v>2099.9699999999998</v>
      </c>
      <c r="K11" s="10" t="str">
        <v>CUST003</v>
      </c>
      <c r="L11" s="10" t="str">
        <v>Michael Brown</v>
      </c>
      <c r="M11" s="10" t="str">
        <v>P007</v>
      </c>
      <c r="N11" s="10" t="str">
        <v>Desk</v>
      </c>
      <c r="O11" s="10" t="str">
        <v>Furniture</v>
      </c>
      <c r="P11" s="10">
        <v>4</v>
      </c>
      <c r="Q11" s="10">
        <v>1199.96</v>
      </c>
      <c r="T11" s="10" t="str">
        <v>TRX0113</v>
      </c>
      <c r="U11" s="37">
        <v>45481</v>
      </c>
      <c r="V11" s="10" t="str">
        <v>CUST003</v>
      </c>
      <c r="W11" s="10" t="str">
        <v>Michael Brown</v>
      </c>
      <c r="X11" s="10" t="str">
        <v>P002</v>
      </c>
      <c r="Y11" s="10" t="str">
        <v>Smartphone</v>
      </c>
      <c r="Z11" s="10" t="str">
        <v>Electronics</v>
      </c>
      <c r="AA11" s="10">
        <v>2</v>
      </c>
      <c r="AB11" s="10">
        <v>699.99</v>
      </c>
      <c r="AC11" s="10" t="str">
        <v>PayPal</v>
      </c>
      <c r="AD11" s="10" t="str">
        <v>East</v>
      </c>
      <c r="AE11" s="10" t="str">
        <v>Premium</v>
      </c>
      <c r="AF11" s="37">
        <v>45389</v>
      </c>
      <c r="AG11" s="10">
        <v>1399.98</v>
      </c>
    </row>
    <row r="12" spans="1:33">
      <c r="B12" s="10" t="str">
        <v>CUST006</v>
      </c>
      <c r="C12" s="10" t="str">
        <v>Lisa Anderson</v>
      </c>
      <c r="D12" s="10" t="str">
        <v>P010</v>
      </c>
      <c r="E12" s="10" t="str">
        <v>Keyboard</v>
      </c>
      <c r="F12" s="10" t="str">
        <v>Electronics</v>
      </c>
      <c r="G12" s="10">
        <v>5</v>
      </c>
      <c r="H12" s="10">
        <v>449.95</v>
      </c>
      <c r="K12" s="10" t="str">
        <v>CUST003</v>
      </c>
      <c r="L12" s="10" t="str">
        <v>Michael Brown</v>
      </c>
      <c r="M12" s="10" t="str">
        <v>P008</v>
      </c>
      <c r="N12" s="10" t="str">
        <v>Bookshelf</v>
      </c>
      <c r="O12" s="10" t="str">
        <v>Furniture</v>
      </c>
      <c r="P12" s="10">
        <v>2</v>
      </c>
      <c r="Q12" s="10">
        <v>299.98</v>
      </c>
      <c r="T12" s="10" t="str">
        <v>TRX0174</v>
      </c>
      <c r="U12" s="37">
        <v>45566</v>
      </c>
      <c r="V12" s="10" t="str">
        <v>CUST003</v>
      </c>
      <c r="W12" s="10" t="str">
        <v>Michael Brown</v>
      </c>
      <c r="X12" s="10" t="str">
        <v>P007</v>
      </c>
      <c r="Y12" s="10" t="str">
        <v>Desk</v>
      </c>
      <c r="Z12" s="10" t="str">
        <v>Furniture</v>
      </c>
      <c r="AA12" s="10">
        <v>4</v>
      </c>
      <c r="AB12" s="10">
        <v>299.99</v>
      </c>
      <c r="AC12" s="10" t="str">
        <v>Cash</v>
      </c>
      <c r="AD12" s="10" t="str">
        <v>Central</v>
      </c>
      <c r="AE12" s="10" t="str">
        <v>Premium</v>
      </c>
      <c r="AF12" s="37">
        <v>44460</v>
      </c>
      <c r="AG12" s="10">
        <v>1199.96</v>
      </c>
    </row>
    <row r="13" spans="1:33">
      <c r="B13" s="10" t="str">
        <v>CUST006</v>
      </c>
      <c r="C13" s="10" t="str">
        <v>Lisa Anderson</v>
      </c>
      <c r="D13" s="10" t="str">
        <v>P003</v>
      </c>
      <c r="E13" s="10" t="str">
        <v>Headphones</v>
      </c>
      <c r="F13" s="10" t="str">
        <v>Electronics</v>
      </c>
      <c r="G13" s="10">
        <v>5</v>
      </c>
      <c r="H13" s="10">
        <v>749.95</v>
      </c>
      <c r="K13" s="10" t="str">
        <v>CUST003</v>
      </c>
      <c r="L13" s="10" t="str">
        <v>Michael Brown</v>
      </c>
      <c r="M13" s="10" t="str">
        <v>P007</v>
      </c>
      <c r="N13" s="10" t="str">
        <v>Desk</v>
      </c>
      <c r="O13" s="10" t="str">
        <v>Furniture</v>
      </c>
      <c r="P13" s="10">
        <v>2</v>
      </c>
      <c r="Q13" s="10">
        <v>599.98</v>
      </c>
      <c r="T13" s="10" t="str">
        <v>TRX0166</v>
      </c>
      <c r="U13" s="37">
        <v>45688</v>
      </c>
      <c r="V13" s="10" t="str">
        <v>CUST003</v>
      </c>
      <c r="W13" s="10" t="str">
        <v>Michael Brown</v>
      </c>
      <c r="X13" s="10" t="str">
        <v>P010</v>
      </c>
      <c r="Y13" s="10" t="str">
        <v>Keyboard</v>
      </c>
      <c r="Z13" s="10" t="str">
        <v>Electronics</v>
      </c>
      <c r="AA13" s="10">
        <v>3</v>
      </c>
      <c r="AB13" s="10">
        <v>89.99</v>
      </c>
      <c r="AC13" s="10" t="str">
        <v>Debit Card</v>
      </c>
      <c r="AD13" s="10" t="str">
        <v>South</v>
      </c>
      <c r="AE13" s="10" t="str">
        <v>Premium</v>
      </c>
      <c r="AF13" s="37">
        <v>45307</v>
      </c>
      <c r="AG13" s="10">
        <v>269.97000000000003</v>
      </c>
    </row>
    <row r="14" spans="1:33">
      <c r="B14" s="10" t="str">
        <v>CUST007</v>
      </c>
      <c r="C14" s="10" t="str">
        <v>David Martinez</v>
      </c>
      <c r="D14" s="10" t="str">
        <v>P003</v>
      </c>
      <c r="E14" s="10" t="str">
        <v>Headphones</v>
      </c>
      <c r="F14" s="10" t="str">
        <v>Electronics</v>
      </c>
      <c r="G14" s="10">
        <v>4</v>
      </c>
      <c r="H14" s="10">
        <v>599.96</v>
      </c>
      <c r="K14" s="10" t="str">
        <v>CUST003</v>
      </c>
      <c r="L14" s="10" t="str">
        <v>Michael Brown</v>
      </c>
      <c r="M14" s="10" t="str">
        <v>P007</v>
      </c>
      <c r="N14" s="10" t="str">
        <v>Desk</v>
      </c>
      <c r="O14" s="10" t="str">
        <v>Furniture</v>
      </c>
      <c r="P14" s="10">
        <v>3</v>
      </c>
      <c r="Q14" s="10">
        <v>899.97</v>
      </c>
      <c r="T14" s="10" t="str">
        <v>TRX0082</v>
      </c>
      <c r="U14" s="37">
        <v>45635</v>
      </c>
      <c r="V14" s="10" t="str">
        <v>CUST005</v>
      </c>
      <c r="W14" s="10" t="str">
        <v>James Johnson</v>
      </c>
      <c r="X14" s="10" t="str">
        <v>P005</v>
      </c>
      <c r="Y14" s="10" t="str">
        <v>Blender</v>
      </c>
      <c r="Z14" s="10" t="str">
        <v>Appliances</v>
      </c>
      <c r="AA14" s="10">
        <v>3</v>
      </c>
      <c r="AB14" s="10">
        <v>59.99</v>
      </c>
      <c r="AC14" s="10" t="str">
        <v>Cash</v>
      </c>
      <c r="AD14" s="10" t="str">
        <v>Central</v>
      </c>
      <c r="AE14" s="10" t="str">
        <v>Premium</v>
      </c>
      <c r="AF14" s="37">
        <v>45052</v>
      </c>
      <c r="AG14" s="10">
        <v>179.97</v>
      </c>
    </row>
    <row r="15" spans="1:33">
      <c r="B15" s="10" t="str">
        <v>CUST007</v>
      </c>
      <c r="C15" s="10" t="str">
        <v>David Martinez</v>
      </c>
      <c r="D15" s="10" t="str">
        <v>P010</v>
      </c>
      <c r="E15" s="10" t="str">
        <v>Keyboard</v>
      </c>
      <c r="F15" s="10" t="str">
        <v>Electronics</v>
      </c>
      <c r="G15" s="10">
        <v>1</v>
      </c>
      <c r="H15" s="10">
        <v>89.99</v>
      </c>
      <c r="K15" s="10" t="str">
        <v>CUST003</v>
      </c>
      <c r="L15" s="10" t="str">
        <v>Michael Brown</v>
      </c>
      <c r="M15" s="10" t="str">
        <v>P008</v>
      </c>
      <c r="N15" s="10" t="str">
        <v>Bookshelf</v>
      </c>
      <c r="O15" s="10" t="str">
        <v>Furniture</v>
      </c>
      <c r="P15" s="10">
        <v>3</v>
      </c>
      <c r="Q15" s="10">
        <v>449.97</v>
      </c>
      <c r="T15" s="10" t="str">
        <v>TRX0088</v>
      </c>
      <c r="U15" s="37">
        <v>45456</v>
      </c>
      <c r="V15" s="10" t="str">
        <v>CUST006</v>
      </c>
      <c r="W15" s="10" t="str">
        <v>Lisa Anderson</v>
      </c>
      <c r="X15" s="10" t="str">
        <v>P010</v>
      </c>
      <c r="Y15" s="10" t="str">
        <v>Keyboard</v>
      </c>
      <c r="Z15" s="10" t="str">
        <v>Electronics</v>
      </c>
      <c r="AA15" s="10">
        <v>5</v>
      </c>
      <c r="AB15" s="10">
        <v>89.99</v>
      </c>
      <c r="AC15" s="10" t="str">
        <v>Cash</v>
      </c>
      <c r="AD15" s="10" t="str">
        <v>Central</v>
      </c>
      <c r="AE15" s="10" t="str">
        <v>Premium</v>
      </c>
      <c r="AF15" s="37">
        <v>44579</v>
      </c>
      <c r="AG15" s="10">
        <v>449.95</v>
      </c>
    </row>
    <row r="16" spans="1:33">
      <c r="B16" s="10" t="str">
        <v>CUST008</v>
      </c>
      <c r="C16" s="10" t="str">
        <v>Jennifer Taylor</v>
      </c>
      <c r="D16" s="10" t="str">
        <v>P002</v>
      </c>
      <c r="E16" s="10" t="str">
        <v>Smartphone</v>
      </c>
      <c r="F16" s="10" t="str">
        <v>Electronics</v>
      </c>
      <c r="G16" s="10">
        <v>5</v>
      </c>
      <c r="H16" s="10">
        <v>3499.95</v>
      </c>
      <c r="K16" s="10" t="str">
        <v>CUST004</v>
      </c>
      <c r="L16" s="10" t="str">
        <v>Sarah Davis</v>
      </c>
      <c r="M16" s="10" t="str">
        <v>P006</v>
      </c>
      <c r="N16" s="10" t="str">
        <v>Office Chair</v>
      </c>
      <c r="O16" s="10" t="str">
        <v>Furniture</v>
      </c>
      <c r="P16" s="10">
        <v>4</v>
      </c>
      <c r="Q16" s="10">
        <v>799.96</v>
      </c>
      <c r="T16" s="10" t="str">
        <v>TRX0237</v>
      </c>
      <c r="U16" s="37">
        <v>45663</v>
      </c>
      <c r="V16" s="10" t="str">
        <v>CUST006</v>
      </c>
      <c r="W16" s="10" t="str">
        <v>Lisa Anderson</v>
      </c>
      <c r="X16" s="10" t="str">
        <v>P003</v>
      </c>
      <c r="Y16" s="10" t="str">
        <v>Headphones</v>
      </c>
      <c r="Z16" s="10" t="str">
        <v>Electronics</v>
      </c>
      <c r="AA16" s="10">
        <v>5</v>
      </c>
      <c r="AB16" s="10">
        <v>149.99</v>
      </c>
      <c r="AC16" s="10" t="str">
        <v>PayPal</v>
      </c>
      <c r="AD16" s="10" t="str">
        <v>East</v>
      </c>
      <c r="AE16" s="10" t="str">
        <v>Premium</v>
      </c>
      <c r="AF16" s="37">
        <v>44824</v>
      </c>
      <c r="AG16" s="10">
        <v>749.95</v>
      </c>
    </row>
    <row r="17" spans="2:33">
      <c r="B17" s="10" t="str">
        <v>CUST009</v>
      </c>
      <c r="C17" s="10" t="str">
        <v>Robert Thomas</v>
      </c>
      <c r="D17" s="10" t="str">
        <v>P001</v>
      </c>
      <c r="E17" s="10" t="str">
        <v>Laptop</v>
      </c>
      <c r="F17" s="10" t="str">
        <v>Electronics</v>
      </c>
      <c r="G17" s="10">
        <v>3</v>
      </c>
      <c r="H17" s="10">
        <v>2699.97</v>
      </c>
      <c r="K17" s="10" t="str">
        <v>CUST004</v>
      </c>
      <c r="L17" s="10" t="str">
        <v>Sarah Davis</v>
      </c>
      <c r="M17" s="10" t="str">
        <v>P008</v>
      </c>
      <c r="N17" s="10" t="str">
        <v>Bookshelf</v>
      </c>
      <c r="O17" s="10" t="str">
        <v>Furniture</v>
      </c>
      <c r="P17" s="10">
        <v>5</v>
      </c>
      <c r="Q17" s="10">
        <v>749.95</v>
      </c>
      <c r="T17" s="10" t="str">
        <v>TRX0020</v>
      </c>
      <c r="U17" s="37">
        <v>45517</v>
      </c>
      <c r="V17" s="10" t="str">
        <v>CUST007</v>
      </c>
      <c r="W17" s="10" t="str">
        <v>David Martinez</v>
      </c>
      <c r="X17" s="10" t="str">
        <v>P003</v>
      </c>
      <c r="Y17" s="10" t="str">
        <v>Headphones</v>
      </c>
      <c r="Z17" s="10" t="str">
        <v>Electronics</v>
      </c>
      <c r="AA17" s="10">
        <v>4</v>
      </c>
      <c r="AB17" s="10">
        <v>149.99</v>
      </c>
      <c r="AC17" s="10" t="str">
        <v>Debit Card</v>
      </c>
      <c r="AD17" s="10" t="str">
        <v>South</v>
      </c>
      <c r="AE17" s="10" t="str">
        <v>Premium</v>
      </c>
      <c r="AF17" s="37">
        <v>44820</v>
      </c>
      <c r="AG17" s="10">
        <v>599.96</v>
      </c>
    </row>
    <row r="18" spans="2:33">
      <c r="B18" s="10" t="str">
        <v>CUST009</v>
      </c>
      <c r="C18" s="10" t="str">
        <v>Robert Thomas</v>
      </c>
      <c r="D18" s="10" t="str">
        <v>P010</v>
      </c>
      <c r="E18" s="10" t="str">
        <v>Keyboard</v>
      </c>
      <c r="F18" s="10" t="str">
        <v>Electronics</v>
      </c>
      <c r="G18" s="10">
        <v>2</v>
      </c>
      <c r="H18" s="10">
        <v>179.98</v>
      </c>
      <c r="K18" s="10" t="str">
        <v>CUST006</v>
      </c>
      <c r="L18" s="10" t="str">
        <v>Lisa Anderson</v>
      </c>
      <c r="M18" s="10" t="str">
        <v>P008</v>
      </c>
      <c r="N18" s="10" t="str">
        <v>Bookshelf</v>
      </c>
      <c r="O18" s="10" t="str">
        <v>Furniture</v>
      </c>
      <c r="P18" s="10">
        <v>2</v>
      </c>
      <c r="Q18" s="10">
        <v>299.98</v>
      </c>
      <c r="T18" s="10" t="str">
        <v>TRX0156</v>
      </c>
      <c r="U18" s="37">
        <v>45655</v>
      </c>
      <c r="V18" s="10" t="str">
        <v>CUST009</v>
      </c>
      <c r="W18" s="10" t="str">
        <v>Robert Thomas</v>
      </c>
      <c r="X18" s="10" t="str">
        <v>P010</v>
      </c>
      <c r="Y18" s="10" t="str">
        <v>Keyboard</v>
      </c>
      <c r="Z18" s="10" t="str">
        <v>Electronics</v>
      </c>
      <c r="AA18" s="10">
        <v>1</v>
      </c>
      <c r="AB18" s="10">
        <v>89.99</v>
      </c>
      <c r="AC18" s="10" t="str">
        <v>Credit Card</v>
      </c>
      <c r="AD18" s="10" t="str">
        <v>South</v>
      </c>
      <c r="AE18" s="10" t="str">
        <v>Premium</v>
      </c>
      <c r="AF18" s="37">
        <v>44591</v>
      </c>
      <c r="AG18" s="10">
        <v>89.99</v>
      </c>
    </row>
    <row r="19" spans="2:33">
      <c r="B19" s="10" t="str">
        <v>CUST009</v>
      </c>
      <c r="C19" s="10" t="str">
        <v>Robert Thomas</v>
      </c>
      <c r="D19" s="10" t="str">
        <v>P010</v>
      </c>
      <c r="E19" s="10" t="str">
        <v>Keyboard</v>
      </c>
      <c r="F19" s="10" t="str">
        <v>Electronics</v>
      </c>
      <c r="G19" s="10">
        <v>1</v>
      </c>
      <c r="H19" s="10">
        <v>89.99</v>
      </c>
      <c r="K19" s="10" t="str">
        <v>CUST007</v>
      </c>
      <c r="L19" s="10" t="str">
        <v>David Martinez</v>
      </c>
      <c r="M19" s="10" t="str">
        <v>P008</v>
      </c>
      <c r="N19" s="10" t="str">
        <v>Bookshelf</v>
      </c>
      <c r="O19" s="10" t="str">
        <v>Furniture</v>
      </c>
      <c r="P19" s="10">
        <v>1</v>
      </c>
      <c r="Q19" s="10">
        <v>149.99</v>
      </c>
      <c r="T19" s="10" t="str">
        <v>TRX0109</v>
      </c>
      <c r="U19" s="37">
        <v>45604</v>
      </c>
      <c r="V19" s="10" t="str">
        <v>CUST010</v>
      </c>
      <c r="W19" s="10" t="str">
        <v>Maria Garcia</v>
      </c>
      <c r="X19" s="10" t="str">
        <v>P008</v>
      </c>
      <c r="Y19" s="10" t="str">
        <v>Bookshelf</v>
      </c>
      <c r="Z19" s="10" t="str">
        <v>Furniture</v>
      </c>
      <c r="AA19" s="10">
        <v>2</v>
      </c>
      <c r="AB19" s="10">
        <v>149.99</v>
      </c>
      <c r="AC19" s="10" t="str">
        <v>Credit Card</v>
      </c>
      <c r="AD19" s="10" t="str">
        <v>West</v>
      </c>
      <c r="AE19" s="10" t="str">
        <v>Premium</v>
      </c>
      <c r="AF19" s="37">
        <v>44848</v>
      </c>
      <c r="AG19" s="10">
        <v>299.98</v>
      </c>
    </row>
    <row r="20" spans="2:33">
      <c r="B20" s="10" t="str">
        <v>CUST009</v>
      </c>
      <c r="C20" s="10" t="str">
        <v>Robert Thomas</v>
      </c>
      <c r="D20" s="10" t="str">
        <v>P010</v>
      </c>
      <c r="E20" s="10" t="str">
        <v>Keyboard</v>
      </c>
      <c r="F20" s="10" t="str">
        <v>Electronics</v>
      </c>
      <c r="G20" s="10">
        <v>1</v>
      </c>
      <c r="H20" s="10">
        <v>89.99</v>
      </c>
      <c r="K20" s="10" t="str">
        <v>CUST007</v>
      </c>
      <c r="L20" s="10" t="str">
        <v>David Martinez</v>
      </c>
      <c r="M20" s="10" t="str">
        <v>P008</v>
      </c>
      <c r="N20" s="10" t="str">
        <v>Bookshelf</v>
      </c>
      <c r="O20" s="10" t="str">
        <v>Furniture</v>
      </c>
      <c r="P20" s="10">
        <v>3</v>
      </c>
      <c r="Q20" s="10">
        <v>449.97</v>
      </c>
      <c r="T20" s="10" t="str">
        <v>TRX0137</v>
      </c>
      <c r="U20" s="37">
        <v>45629</v>
      </c>
      <c r="V20" s="10" t="str">
        <v>CUST011</v>
      </c>
      <c r="W20" s="10" t="str">
        <v>William White</v>
      </c>
      <c r="X20" s="10" t="str">
        <v>P009</v>
      </c>
      <c r="Y20" s="10" t="str">
        <v>Monitor</v>
      </c>
      <c r="Z20" s="10" t="str">
        <v>Electronics</v>
      </c>
      <c r="AA20" s="10">
        <v>4</v>
      </c>
      <c r="AB20" s="10">
        <v>249.99</v>
      </c>
      <c r="AC20" s="10" t="str">
        <v>PayPal</v>
      </c>
      <c r="AD20" s="10" t="str">
        <v>East</v>
      </c>
      <c r="AE20" s="10" t="str">
        <v>Premium</v>
      </c>
      <c r="AF20" s="37">
        <v>45098</v>
      </c>
      <c r="AG20" s="10">
        <v>999.96</v>
      </c>
    </row>
    <row r="21" spans="2:33">
      <c r="B21" s="10" t="str">
        <v>CUST010</v>
      </c>
      <c r="C21" s="10" t="str">
        <v>Maria Garcia</v>
      </c>
      <c r="D21" s="10" t="str">
        <v>P002</v>
      </c>
      <c r="E21" s="10" t="str">
        <v>Smartphone</v>
      </c>
      <c r="F21" s="10" t="str">
        <v>Electronics</v>
      </c>
      <c r="G21" s="10">
        <v>2</v>
      </c>
      <c r="H21" s="10">
        <v>1399.98</v>
      </c>
      <c r="K21" s="10" t="str">
        <v>CUST008</v>
      </c>
      <c r="L21" s="10" t="str">
        <v>Jennifer Taylor</v>
      </c>
      <c r="M21" s="10" t="str">
        <v>P007</v>
      </c>
      <c r="N21" s="10" t="str">
        <v>Desk</v>
      </c>
      <c r="O21" s="10" t="str">
        <v>Furniture</v>
      </c>
      <c r="P21" s="10">
        <v>2</v>
      </c>
      <c r="Q21" s="10">
        <v>599.98</v>
      </c>
      <c r="T21" s="10" t="str">
        <v>TRX0004</v>
      </c>
      <c r="U21" s="37">
        <v>45424</v>
      </c>
      <c r="V21" s="10" t="str">
        <v>CUST012</v>
      </c>
      <c r="W21" s="10" t="str">
        <v>Patricia Moore</v>
      </c>
      <c r="X21" s="10" t="str">
        <v>P010</v>
      </c>
      <c r="Y21" s="10" t="str">
        <v>Keyboard</v>
      </c>
      <c r="Z21" s="10" t="str">
        <v>Electronics</v>
      </c>
      <c r="AA21" s="10">
        <v>5</v>
      </c>
      <c r="AB21" s="10">
        <v>89.99</v>
      </c>
      <c r="AC21" s="10" t="str">
        <v>Cash</v>
      </c>
      <c r="AD21" s="10" t="str">
        <v>North</v>
      </c>
      <c r="AE21" s="10" t="str">
        <v>Premium</v>
      </c>
      <c r="AF21" s="37">
        <v>44919</v>
      </c>
      <c r="AG21" s="10">
        <v>449.95</v>
      </c>
    </row>
    <row r="22" spans="2:33">
      <c r="B22" s="10" t="str">
        <v>CUST010</v>
      </c>
      <c r="C22" s="10" t="str">
        <v>Maria Garcia</v>
      </c>
      <c r="D22" s="10" t="str">
        <v>P010</v>
      </c>
      <c r="E22" s="10" t="str">
        <v>Keyboard</v>
      </c>
      <c r="F22" s="10" t="str">
        <v>Electronics</v>
      </c>
      <c r="G22" s="10">
        <v>1</v>
      </c>
      <c r="H22" s="10">
        <v>89.99</v>
      </c>
      <c r="K22" s="10" t="str">
        <v>CUST009</v>
      </c>
      <c r="L22" s="10" t="str">
        <v>Robert Thomas</v>
      </c>
      <c r="M22" s="10" t="str">
        <v>P008</v>
      </c>
      <c r="N22" s="10" t="str">
        <v>Bookshelf</v>
      </c>
      <c r="O22" s="10" t="str">
        <v>Furniture</v>
      </c>
      <c r="P22" s="10">
        <v>3</v>
      </c>
      <c r="Q22" s="10">
        <v>449.97</v>
      </c>
      <c r="T22" s="10" t="str">
        <v>TRX0115</v>
      </c>
      <c r="U22" s="37">
        <v>45459</v>
      </c>
      <c r="V22" s="10" t="str">
        <v>CUST012</v>
      </c>
      <c r="W22" s="10" t="str">
        <v>Patricia Moore</v>
      </c>
      <c r="X22" s="10" t="str">
        <v>P010</v>
      </c>
      <c r="Y22" s="10" t="str">
        <v>Keyboard</v>
      </c>
      <c r="Z22" s="10" t="str">
        <v>Electronics</v>
      </c>
      <c r="AA22" s="10">
        <v>2</v>
      </c>
      <c r="AB22" s="10">
        <v>89.99</v>
      </c>
      <c r="AC22" s="10" t="str">
        <v>Credit Card</v>
      </c>
      <c r="AD22" s="10" t="str">
        <v>South</v>
      </c>
      <c r="AE22" s="10" t="str">
        <v>Premium</v>
      </c>
      <c r="AF22" s="37">
        <v>44471</v>
      </c>
      <c r="AG22" s="10">
        <v>179.98</v>
      </c>
    </row>
    <row r="23" spans="2:33">
      <c r="B23" s="10" t="str">
        <v>CUST011</v>
      </c>
      <c r="C23" s="10" t="str">
        <v>William White</v>
      </c>
      <c r="D23" s="10" t="str">
        <v>P003</v>
      </c>
      <c r="E23" s="10" t="str">
        <v>Headphones</v>
      </c>
      <c r="F23" s="10" t="str">
        <v>Electronics</v>
      </c>
      <c r="G23" s="10">
        <v>1</v>
      </c>
      <c r="H23" s="10">
        <v>149.99</v>
      </c>
      <c r="K23" s="10" t="str">
        <v>CUST010</v>
      </c>
      <c r="L23" s="10" t="str">
        <v>Maria Garcia</v>
      </c>
      <c r="M23" s="10" t="str">
        <v>P008</v>
      </c>
      <c r="N23" s="10" t="str">
        <v>Bookshelf</v>
      </c>
      <c r="O23" s="10" t="str">
        <v>Furniture</v>
      </c>
      <c r="P23" s="10">
        <v>2</v>
      </c>
      <c r="Q23" s="10">
        <v>299.98</v>
      </c>
      <c r="T23" s="10" t="str">
        <v>TRX0104</v>
      </c>
      <c r="U23" s="37">
        <v>45471</v>
      </c>
      <c r="V23" s="10" t="str">
        <v>CUST012</v>
      </c>
      <c r="W23" s="10" t="str">
        <v>Patricia Moore</v>
      </c>
      <c r="X23" s="10" t="str">
        <v>P001</v>
      </c>
      <c r="Y23" s="10" t="str">
        <v>Laptop</v>
      </c>
      <c r="Z23" s="10" t="str">
        <v>Electronics</v>
      </c>
      <c r="AA23" s="10">
        <v>4</v>
      </c>
      <c r="AB23" s="10">
        <v>899.99</v>
      </c>
      <c r="AC23" s="10" t="str">
        <v>Credit Card</v>
      </c>
      <c r="AD23" s="10" t="str">
        <v>East</v>
      </c>
      <c r="AE23" s="10" t="str">
        <v>Premium</v>
      </c>
      <c r="AF23" s="37">
        <v>44993</v>
      </c>
      <c r="AG23" s="10">
        <v>3599.96</v>
      </c>
    </row>
    <row r="24" spans="2:33">
      <c r="B24" s="10" t="str">
        <v>CUST011</v>
      </c>
      <c r="C24" s="10" t="str">
        <v>William White</v>
      </c>
      <c r="D24" s="10" t="str">
        <v>P009</v>
      </c>
      <c r="E24" s="10" t="str">
        <v>Monitor</v>
      </c>
      <c r="F24" s="10" t="str">
        <v>Electronics</v>
      </c>
      <c r="G24" s="10">
        <v>4</v>
      </c>
      <c r="H24" s="10">
        <v>999.96</v>
      </c>
      <c r="K24" s="10" t="str">
        <v>CUST012</v>
      </c>
      <c r="L24" s="10" t="str">
        <v>Patricia Moore</v>
      </c>
      <c r="M24" s="10" t="str">
        <v>P007</v>
      </c>
      <c r="N24" s="10" t="str">
        <v>Desk</v>
      </c>
      <c r="O24" s="10" t="str">
        <v>Furniture</v>
      </c>
      <c r="P24" s="10">
        <v>3</v>
      </c>
      <c r="Q24" s="10">
        <v>899.97</v>
      </c>
      <c r="T24" s="10" t="str">
        <v>TRX0060</v>
      </c>
      <c r="U24" s="37">
        <v>45603</v>
      </c>
      <c r="V24" s="10" t="str">
        <v>CUST012</v>
      </c>
      <c r="W24" s="10" t="str">
        <v>Patricia Moore</v>
      </c>
      <c r="X24" s="10" t="str">
        <v>P010</v>
      </c>
      <c r="Y24" s="10" t="str">
        <v>Keyboard</v>
      </c>
      <c r="Z24" s="10" t="str">
        <v>Electronics</v>
      </c>
      <c r="AA24" s="10">
        <v>3</v>
      </c>
      <c r="AB24" s="10">
        <v>89.99</v>
      </c>
      <c r="AC24" s="10" t="str">
        <v>Credit Card</v>
      </c>
      <c r="AD24" s="10" t="str">
        <v>North</v>
      </c>
      <c r="AE24" s="10" t="str">
        <v>Premium</v>
      </c>
      <c r="AF24" s="37">
        <v>44420</v>
      </c>
      <c r="AG24" s="10">
        <v>269.97000000000003</v>
      </c>
    </row>
    <row r="25" spans="2:33">
      <c r="B25" s="10" t="str">
        <v>CUST011</v>
      </c>
      <c r="C25" s="10" t="str">
        <v>William White</v>
      </c>
      <c r="D25" s="10" t="str">
        <v>P001</v>
      </c>
      <c r="E25" s="10" t="str">
        <v>Laptop</v>
      </c>
      <c r="F25" s="10" t="str">
        <v>Electronics</v>
      </c>
      <c r="G25" s="10">
        <v>4</v>
      </c>
      <c r="H25" s="10">
        <v>3599.96</v>
      </c>
      <c r="K25" s="10" t="str">
        <v>CUST012</v>
      </c>
      <c r="L25" s="10" t="str">
        <v>Patricia Moore</v>
      </c>
      <c r="M25" s="10" t="str">
        <v>P007</v>
      </c>
      <c r="N25" s="10" t="str">
        <v>Desk</v>
      </c>
      <c r="O25" s="10" t="str">
        <v>Furniture</v>
      </c>
      <c r="P25" s="10">
        <v>2</v>
      </c>
      <c r="Q25" s="10">
        <v>599.98</v>
      </c>
      <c r="T25" s="10" t="str">
        <v>TRX0023</v>
      </c>
      <c r="U25" s="37">
        <v>45396</v>
      </c>
      <c r="V25" s="10" t="str">
        <v>CUST013</v>
      </c>
      <c r="W25" s="10" t="str">
        <v>Joseph Jackson</v>
      </c>
      <c r="X25" s="10" t="str">
        <v>P009</v>
      </c>
      <c r="Y25" s="10" t="str">
        <v>Monitor</v>
      </c>
      <c r="Z25" s="10" t="str">
        <v>Electronics</v>
      </c>
      <c r="AA25" s="10">
        <v>3</v>
      </c>
      <c r="AB25" s="10">
        <v>249.99</v>
      </c>
      <c r="AC25" s="10" t="str">
        <v>Credit Card</v>
      </c>
      <c r="AD25" s="10" t="str">
        <v>Central</v>
      </c>
      <c r="AE25" s="10" t="str">
        <v>Premium</v>
      </c>
      <c r="AF25" s="37">
        <v>44575</v>
      </c>
      <c r="AG25" s="10">
        <v>749.97</v>
      </c>
    </row>
    <row r="26" spans="2:33">
      <c r="B26" s="10" t="str">
        <v>CUST012</v>
      </c>
      <c r="C26" s="10" t="str">
        <v>Patricia Moore</v>
      </c>
      <c r="D26" s="10" t="str">
        <v>P002</v>
      </c>
      <c r="E26" s="10" t="str">
        <v>Smartphone</v>
      </c>
      <c r="F26" s="10" t="str">
        <v>Electronics</v>
      </c>
      <c r="G26" s="10">
        <v>4</v>
      </c>
      <c r="H26" s="10">
        <v>2799.96</v>
      </c>
      <c r="K26" s="10" t="str">
        <v>CUST014</v>
      </c>
      <c r="L26" s="10" t="str">
        <v>Linda Martin</v>
      </c>
      <c r="M26" s="10" t="str">
        <v>P008</v>
      </c>
      <c r="N26" s="10" t="str">
        <v>Bookshelf</v>
      </c>
      <c r="O26" s="10" t="str">
        <v>Furniture</v>
      </c>
      <c r="P26" s="10">
        <v>3</v>
      </c>
      <c r="Q26" s="10">
        <v>449.97</v>
      </c>
      <c r="T26" s="10" t="str">
        <v>TRX0133</v>
      </c>
      <c r="U26" s="37">
        <v>45627</v>
      </c>
      <c r="V26" s="10" t="str">
        <v>CUST013</v>
      </c>
      <c r="W26" s="10" t="str">
        <v>Joseph Jackson</v>
      </c>
      <c r="X26" s="10" t="str">
        <v>P003</v>
      </c>
      <c r="Y26" s="10" t="str">
        <v>Headphones</v>
      </c>
      <c r="Z26" s="10" t="str">
        <v>Electronics</v>
      </c>
      <c r="AA26" s="10">
        <v>2</v>
      </c>
      <c r="AB26" s="10">
        <v>149.99</v>
      </c>
      <c r="AC26" s="10" t="str">
        <v>Cash</v>
      </c>
      <c r="AD26" s="10" t="str">
        <v>South</v>
      </c>
      <c r="AE26" s="10" t="str">
        <v>Premium</v>
      </c>
      <c r="AF26" s="37">
        <v>44475</v>
      </c>
      <c r="AG26" s="10">
        <v>299.98</v>
      </c>
    </row>
    <row r="27" spans="2:33">
      <c r="B27" s="10" t="str">
        <v>CUST012</v>
      </c>
      <c r="C27" s="10" t="str">
        <v>Patricia Moore</v>
      </c>
      <c r="D27" s="10" t="str">
        <v>P010</v>
      </c>
      <c r="E27" s="10" t="str">
        <v>Keyboard</v>
      </c>
      <c r="F27" s="10" t="str">
        <v>Electronics</v>
      </c>
      <c r="G27" s="10">
        <v>5</v>
      </c>
      <c r="H27" s="10">
        <v>449.95</v>
      </c>
      <c r="K27" s="10" t="str">
        <v>CUST014</v>
      </c>
      <c r="L27" s="10" t="str">
        <v>Linda Martin</v>
      </c>
      <c r="M27" s="10" t="str">
        <v>P008</v>
      </c>
      <c r="N27" s="10" t="str">
        <v>Bookshelf</v>
      </c>
      <c r="O27" s="10" t="str">
        <v>Furniture</v>
      </c>
      <c r="P27" s="10">
        <v>2</v>
      </c>
      <c r="Q27" s="10">
        <v>299.98</v>
      </c>
      <c r="T27" s="10" t="str">
        <v>TRX0235</v>
      </c>
      <c r="U27" s="37">
        <v>45424</v>
      </c>
      <c r="V27" s="10" t="str">
        <v>CUST014</v>
      </c>
      <c r="W27" s="10" t="str">
        <v>Linda Martin</v>
      </c>
      <c r="X27" s="10" t="str">
        <v>P004</v>
      </c>
      <c r="Y27" s="10" t="str">
        <v>Coffee Maker</v>
      </c>
      <c r="Z27" s="10" t="str">
        <v>Appliances</v>
      </c>
      <c r="AA27" s="10">
        <v>3</v>
      </c>
      <c r="AB27" s="10">
        <v>79.989999999999995</v>
      </c>
      <c r="AC27" s="10" t="str">
        <v>PayPal</v>
      </c>
      <c r="AD27" s="10" t="str">
        <v>East</v>
      </c>
      <c r="AE27" s="10" t="str">
        <v>Premium</v>
      </c>
      <c r="AF27" s="37">
        <v>45012</v>
      </c>
      <c r="AG27" s="10">
        <v>239.97</v>
      </c>
    </row>
    <row r="28" spans="2:33">
      <c r="B28" s="10" t="str">
        <v>CUST012</v>
      </c>
      <c r="C28" s="10" t="str">
        <v>Patricia Moore</v>
      </c>
      <c r="D28" s="10" t="str">
        <v>P010</v>
      </c>
      <c r="E28" s="10" t="str">
        <v>Keyboard</v>
      </c>
      <c r="F28" s="10" t="str">
        <v>Electronics</v>
      </c>
      <c r="G28" s="10">
        <v>2</v>
      </c>
      <c r="H28" s="10">
        <v>179.98</v>
      </c>
      <c r="K28" s="10" t="str">
        <v>CUST015</v>
      </c>
      <c r="L28" s="10" t="str">
        <v>Richard Lee</v>
      </c>
      <c r="M28" s="10" t="str">
        <v>P006</v>
      </c>
      <c r="N28" s="10" t="str">
        <v>Office Chair</v>
      </c>
      <c r="O28" s="10" t="str">
        <v>Furniture</v>
      </c>
      <c r="P28" s="10">
        <v>1</v>
      </c>
      <c r="Q28" s="10">
        <v>199.99</v>
      </c>
      <c r="T28" s="10" t="str">
        <v>TRX0164</v>
      </c>
      <c r="U28" s="37">
        <v>45648</v>
      </c>
      <c r="V28" s="10" t="str">
        <v>CUST014</v>
      </c>
      <c r="W28" s="10" t="str">
        <v>Linda Martin</v>
      </c>
      <c r="X28" s="10" t="str">
        <v>P003</v>
      </c>
      <c r="Y28" s="10" t="str">
        <v>Headphones</v>
      </c>
      <c r="Z28" s="10" t="str">
        <v>Electronics</v>
      </c>
      <c r="AA28" s="10">
        <v>2</v>
      </c>
      <c r="AB28" s="10">
        <v>149.99</v>
      </c>
      <c r="AC28" s="10" t="str">
        <v>Debit Card</v>
      </c>
      <c r="AD28" s="10" t="str">
        <v>West</v>
      </c>
      <c r="AE28" s="10" t="str">
        <v>Premium</v>
      </c>
      <c r="AF28" s="37">
        <v>45280</v>
      </c>
      <c r="AG28" s="10">
        <v>299.98</v>
      </c>
    </row>
    <row r="29" spans="2:33">
      <c r="B29" s="10" t="str">
        <v>CUST012</v>
      </c>
      <c r="C29" s="10" t="str">
        <v>Patricia Moore</v>
      </c>
      <c r="D29" s="10" t="str">
        <v>P001</v>
      </c>
      <c r="E29" s="10" t="str">
        <v>Laptop</v>
      </c>
      <c r="F29" s="10" t="str">
        <v>Electronics</v>
      </c>
      <c r="G29" s="10">
        <v>4</v>
      </c>
      <c r="H29" s="10">
        <v>3599.96</v>
      </c>
      <c r="K29" s="10" t="str">
        <v>CUST015</v>
      </c>
      <c r="L29" s="10" t="str">
        <v>Richard Lee</v>
      </c>
      <c r="M29" s="10" t="str">
        <v>P008</v>
      </c>
      <c r="N29" s="10" t="str">
        <v>Bookshelf</v>
      </c>
      <c r="O29" s="10" t="str">
        <v>Furniture</v>
      </c>
      <c r="P29" s="10">
        <v>2</v>
      </c>
      <c r="Q29" s="10">
        <v>299.98</v>
      </c>
      <c r="T29" s="10" t="str">
        <v>TRX0118</v>
      </c>
      <c r="U29" s="37">
        <v>45705</v>
      </c>
      <c r="V29" s="10" t="str">
        <v>CUST015</v>
      </c>
      <c r="W29" s="10" t="str">
        <v>Richard Lee</v>
      </c>
      <c r="X29" s="10" t="str">
        <v>P008</v>
      </c>
      <c r="Y29" s="10" t="str">
        <v>Bookshelf</v>
      </c>
      <c r="Z29" s="10" t="str">
        <v>Furniture</v>
      </c>
      <c r="AA29" s="10">
        <v>2</v>
      </c>
      <c r="AB29" s="10">
        <v>149.99</v>
      </c>
      <c r="AC29" s="10" t="str">
        <v>Cash</v>
      </c>
      <c r="AD29" s="10" t="str">
        <v>South</v>
      </c>
      <c r="AE29" s="10" t="str">
        <v>Premium</v>
      </c>
      <c r="AF29" s="37">
        <v>44728</v>
      </c>
      <c r="AG29" s="10">
        <v>299.98</v>
      </c>
    </row>
    <row r="30" spans="2:33">
      <c r="B30" s="10" t="str">
        <v>CUST012</v>
      </c>
      <c r="C30" s="10" t="str">
        <v>Patricia Moore</v>
      </c>
      <c r="D30" s="10" t="str">
        <v>P010</v>
      </c>
      <c r="E30" s="10" t="str">
        <v>Keyboard</v>
      </c>
      <c r="F30" s="10" t="str">
        <v>Electronics</v>
      </c>
      <c r="G30" s="10">
        <v>3</v>
      </c>
      <c r="H30" s="10">
        <v>269.97000000000003</v>
      </c>
      <c r="K30" s="10" t="str">
        <v>CUST016</v>
      </c>
      <c r="L30" s="10" t="str">
        <v>Elizabeth Hall</v>
      </c>
      <c r="M30" s="10" t="str">
        <v>P008</v>
      </c>
      <c r="N30" s="10" t="str">
        <v>Bookshelf</v>
      </c>
      <c r="O30" s="10" t="str">
        <v>Furniture</v>
      </c>
      <c r="P30" s="10">
        <v>2</v>
      </c>
      <c r="Q30" s="10">
        <v>299.98</v>
      </c>
      <c r="T30" s="10" t="str">
        <v>TRX0055</v>
      </c>
      <c r="U30" s="37">
        <v>45573</v>
      </c>
      <c r="V30" s="10" t="str">
        <v>CUST016</v>
      </c>
      <c r="W30" s="10" t="str">
        <v>Elizabeth Hall</v>
      </c>
      <c r="X30" s="10" t="str">
        <v>P002</v>
      </c>
      <c r="Y30" s="10" t="str">
        <v>Smartphone</v>
      </c>
      <c r="Z30" s="10" t="str">
        <v>Electronics</v>
      </c>
      <c r="AA30" s="10">
        <v>2</v>
      </c>
      <c r="AB30" s="10">
        <v>699.99</v>
      </c>
      <c r="AC30" s="10" t="str">
        <v>Debit Card</v>
      </c>
      <c r="AD30" s="10" t="str">
        <v>East</v>
      </c>
      <c r="AE30" s="10" t="str">
        <v>Premium</v>
      </c>
      <c r="AF30" s="37">
        <v>45274</v>
      </c>
      <c r="AG30" s="10">
        <v>1399.98</v>
      </c>
    </row>
    <row r="31" spans="2:33">
      <c r="B31" s="10" t="str">
        <v>CUST012</v>
      </c>
      <c r="C31" s="10" t="str">
        <v>Patricia Moore</v>
      </c>
      <c r="D31" s="10" t="str">
        <v>P009</v>
      </c>
      <c r="E31" s="10" t="str">
        <v>Monitor</v>
      </c>
      <c r="F31" s="10" t="str">
        <v>Electronics</v>
      </c>
      <c r="G31" s="10">
        <v>4</v>
      </c>
      <c r="H31" s="10">
        <v>999.96</v>
      </c>
      <c r="K31" s="10" t="str">
        <v>CUST016</v>
      </c>
      <c r="L31" s="10" t="str">
        <v>Elizabeth Hall</v>
      </c>
      <c r="M31" s="10" t="str">
        <v>P007</v>
      </c>
      <c r="N31" s="10" t="str">
        <v>Desk</v>
      </c>
      <c r="O31" s="10" t="str">
        <v>Furniture</v>
      </c>
      <c r="P31" s="10">
        <v>5</v>
      </c>
      <c r="Q31" s="10">
        <v>1499.95</v>
      </c>
      <c r="T31" s="10" t="str">
        <v>TRX0062</v>
      </c>
      <c r="U31" s="37">
        <v>45711</v>
      </c>
      <c r="V31" s="10" t="str">
        <v>CUST016</v>
      </c>
      <c r="W31" s="10" t="str">
        <v>Elizabeth Hall</v>
      </c>
      <c r="X31" s="10" t="str">
        <v>P010</v>
      </c>
      <c r="Y31" s="10" t="str">
        <v>Keyboard</v>
      </c>
      <c r="Z31" s="10" t="str">
        <v>Electronics</v>
      </c>
      <c r="AA31" s="10">
        <v>5</v>
      </c>
      <c r="AB31" s="10">
        <v>89.99</v>
      </c>
      <c r="AC31" s="10" t="str">
        <v>PayPal</v>
      </c>
      <c r="AD31" s="10" t="str">
        <v>West</v>
      </c>
      <c r="AE31" s="10" t="str">
        <v>Premium</v>
      </c>
      <c r="AF31" s="37">
        <v>45140</v>
      </c>
      <c r="AG31" s="10">
        <v>449.95</v>
      </c>
    </row>
    <row r="32" spans="2:33">
      <c r="B32" s="10" t="str">
        <v>CUST013</v>
      </c>
      <c r="C32" s="10" t="str">
        <v>Joseph Jackson</v>
      </c>
      <c r="D32" s="10" t="str">
        <v>P009</v>
      </c>
      <c r="E32" s="10" t="str">
        <v>Monitor</v>
      </c>
      <c r="F32" s="10" t="str">
        <v>Electronics</v>
      </c>
      <c r="G32" s="10">
        <v>3</v>
      </c>
      <c r="H32" s="10">
        <v>749.97</v>
      </c>
      <c r="K32" s="10" t="str">
        <v>CUST017</v>
      </c>
      <c r="L32" s="10" t="str">
        <v>Charles Allen</v>
      </c>
      <c r="M32" s="10" t="str">
        <v>P006</v>
      </c>
      <c r="N32" s="10" t="str">
        <v>Office Chair</v>
      </c>
      <c r="O32" s="10" t="str">
        <v>Furniture</v>
      </c>
      <c r="P32" s="10">
        <v>5</v>
      </c>
      <c r="Q32" s="10">
        <v>999.95</v>
      </c>
      <c r="T32" s="10" t="str">
        <v>TRX0094</v>
      </c>
      <c r="U32" s="37">
        <v>45627</v>
      </c>
      <c r="V32" s="10" t="str">
        <v>CUST017</v>
      </c>
      <c r="W32" s="10" t="str">
        <v>Charles Allen</v>
      </c>
      <c r="X32" s="10" t="str">
        <v>P009</v>
      </c>
      <c r="Y32" s="10" t="str">
        <v>Monitor</v>
      </c>
      <c r="Z32" s="10" t="str">
        <v>Electronics</v>
      </c>
      <c r="AA32" s="10">
        <v>5</v>
      </c>
      <c r="AB32" s="10">
        <v>249.99</v>
      </c>
      <c r="AC32" s="10" t="str">
        <v>Cash</v>
      </c>
      <c r="AD32" s="10" t="str">
        <v>Central</v>
      </c>
      <c r="AE32" s="10" t="str">
        <v>Premium</v>
      </c>
      <c r="AF32" s="37">
        <v>44485</v>
      </c>
      <c r="AG32" s="10">
        <v>1249.95</v>
      </c>
    </row>
    <row r="33" spans="2:33">
      <c r="B33" s="10" t="str">
        <v>CUST013</v>
      </c>
      <c r="C33" s="10" t="str">
        <v>Joseph Jackson</v>
      </c>
      <c r="D33" s="10" t="str">
        <v>P009</v>
      </c>
      <c r="E33" s="10" t="str">
        <v>Monitor</v>
      </c>
      <c r="F33" s="10" t="str">
        <v>Electronics</v>
      </c>
      <c r="G33" s="10">
        <v>5</v>
      </c>
      <c r="H33" s="10">
        <v>1249.95</v>
      </c>
      <c r="K33" s="10" t="str">
        <v>CUST017</v>
      </c>
      <c r="L33" s="10" t="str">
        <v>Charles Allen</v>
      </c>
      <c r="M33" s="10" t="str">
        <v>P007</v>
      </c>
      <c r="N33" s="10" t="str">
        <v>Desk</v>
      </c>
      <c r="O33" s="10" t="str">
        <v>Furniture</v>
      </c>
      <c r="P33" s="10">
        <v>5</v>
      </c>
      <c r="Q33" s="10">
        <v>1499.95</v>
      </c>
      <c r="T33" s="10" t="str">
        <v>TRX0114</v>
      </c>
      <c r="U33" s="37">
        <v>45481</v>
      </c>
      <c r="V33" s="10" t="str">
        <v>CUST018</v>
      </c>
      <c r="W33" s="10" t="str">
        <v>Barbara Young</v>
      </c>
      <c r="X33" s="10" t="str">
        <v>P010</v>
      </c>
      <c r="Y33" s="10" t="str">
        <v>Keyboard</v>
      </c>
      <c r="Z33" s="10" t="str">
        <v>Electronics</v>
      </c>
      <c r="AA33" s="10">
        <v>5</v>
      </c>
      <c r="AB33" s="10">
        <v>89.99</v>
      </c>
      <c r="AC33" s="10" t="str">
        <v>Debit Card</v>
      </c>
      <c r="AD33" s="10" t="str">
        <v>North</v>
      </c>
      <c r="AE33" s="10" t="str">
        <v>Premium</v>
      </c>
      <c r="AF33" s="37">
        <v>45161</v>
      </c>
      <c r="AG33" s="10">
        <v>449.95</v>
      </c>
    </row>
    <row r="34" spans="2:33">
      <c r="B34" s="10" t="str">
        <v>CUST013</v>
      </c>
      <c r="C34" s="10" t="str">
        <v>Joseph Jackson</v>
      </c>
      <c r="D34" s="10" t="str">
        <v>P003</v>
      </c>
      <c r="E34" s="10" t="str">
        <v>Headphones</v>
      </c>
      <c r="F34" s="10" t="str">
        <v>Electronics</v>
      </c>
      <c r="G34" s="10">
        <v>1</v>
      </c>
      <c r="H34" s="10">
        <v>149.99</v>
      </c>
      <c r="K34" s="10" t="str">
        <v>CUST017</v>
      </c>
      <c r="L34" s="10" t="str">
        <v>Charles Allen</v>
      </c>
      <c r="M34" s="10" t="str">
        <v>P008</v>
      </c>
      <c r="N34" s="10" t="str">
        <v>Bookshelf</v>
      </c>
      <c r="O34" s="10" t="str">
        <v>Furniture</v>
      </c>
      <c r="P34" s="10">
        <v>2</v>
      </c>
      <c r="Q34" s="10">
        <v>299.98</v>
      </c>
      <c r="T34" s="10" t="str">
        <v>TRX0080</v>
      </c>
      <c r="U34" s="37">
        <v>45500</v>
      </c>
      <c r="V34" s="10" t="str">
        <v>CUST018</v>
      </c>
      <c r="W34" s="10" t="str">
        <v>Barbara Young</v>
      </c>
      <c r="X34" s="10" t="str">
        <v>P009</v>
      </c>
      <c r="Y34" s="10" t="str">
        <v>Monitor</v>
      </c>
      <c r="Z34" s="10" t="str">
        <v>Electronics</v>
      </c>
      <c r="AA34" s="10">
        <v>2</v>
      </c>
      <c r="AB34" s="10">
        <v>249.99</v>
      </c>
      <c r="AC34" s="10" t="str">
        <v>Cash</v>
      </c>
      <c r="AD34" s="10" t="str">
        <v>North</v>
      </c>
      <c r="AE34" s="10" t="str">
        <v>Premium</v>
      </c>
      <c r="AF34" s="37">
        <v>45164</v>
      </c>
      <c r="AG34" s="10">
        <v>499.98</v>
      </c>
    </row>
    <row r="35" spans="2:33">
      <c r="B35" s="10" t="str">
        <v>CUST013</v>
      </c>
      <c r="C35" s="10" t="str">
        <v>Joseph Jackson</v>
      </c>
      <c r="D35" s="10" t="str">
        <v>P001</v>
      </c>
      <c r="E35" s="10" t="str">
        <v>Laptop</v>
      </c>
      <c r="F35" s="10" t="str">
        <v>Electronics</v>
      </c>
      <c r="G35" s="10">
        <v>5</v>
      </c>
      <c r="H35" s="10">
        <v>4499.95</v>
      </c>
      <c r="K35" s="10" t="str">
        <v>CUST017</v>
      </c>
      <c r="L35" s="10" t="str">
        <v>Charles Allen</v>
      </c>
      <c r="M35" s="10" t="str">
        <v>P008</v>
      </c>
      <c r="N35" s="10" t="str">
        <v>Bookshelf</v>
      </c>
      <c r="O35" s="10" t="str">
        <v>Furniture</v>
      </c>
      <c r="P35" s="10">
        <v>4</v>
      </c>
      <c r="Q35" s="10">
        <v>599.96</v>
      </c>
      <c r="T35" s="10" t="str">
        <v>TRX0077</v>
      </c>
      <c r="U35" s="37">
        <v>45554</v>
      </c>
      <c r="V35" s="10" t="str">
        <v>CUST019</v>
      </c>
      <c r="W35" s="10" t="str">
        <v>Daniel King</v>
      </c>
      <c r="X35" s="10" t="str">
        <v>P010</v>
      </c>
      <c r="Y35" s="10" t="str">
        <v>Keyboard</v>
      </c>
      <c r="Z35" s="10" t="str">
        <v>Electronics</v>
      </c>
      <c r="AA35" s="10">
        <v>5</v>
      </c>
      <c r="AB35" s="10">
        <v>89.99</v>
      </c>
      <c r="AC35" s="10" t="str">
        <v>Credit Card</v>
      </c>
      <c r="AD35" s="10" t="str">
        <v>East</v>
      </c>
      <c r="AE35" s="10" t="str">
        <v>Premium</v>
      </c>
      <c r="AF35" s="37">
        <v>44446</v>
      </c>
      <c r="AG35" s="10">
        <v>449.95</v>
      </c>
    </row>
    <row r="36" spans="2:33">
      <c r="B36" s="10" t="str">
        <v>CUST013</v>
      </c>
      <c r="C36" s="10" t="str">
        <v>Joseph Jackson</v>
      </c>
      <c r="D36" s="10" t="str">
        <v>P003</v>
      </c>
      <c r="E36" s="10" t="str">
        <v>Headphones</v>
      </c>
      <c r="F36" s="10" t="str">
        <v>Electronics</v>
      </c>
      <c r="G36" s="10">
        <v>2</v>
      </c>
      <c r="H36" s="10">
        <v>299.98</v>
      </c>
      <c r="K36" s="10" t="str">
        <v>CUST019</v>
      </c>
      <c r="L36" s="10" t="str">
        <v>Daniel King</v>
      </c>
      <c r="M36" s="10" t="str">
        <v>P007</v>
      </c>
      <c r="N36" s="10" t="str">
        <v>Desk</v>
      </c>
      <c r="O36" s="10" t="str">
        <v>Furniture</v>
      </c>
      <c r="P36" s="10">
        <v>1</v>
      </c>
      <c r="Q36" s="10">
        <v>299.99</v>
      </c>
      <c r="T36" s="10" t="str">
        <v>TRX0056</v>
      </c>
      <c r="U36" s="37">
        <v>45660</v>
      </c>
      <c r="V36" s="10" t="str">
        <v>CUST019</v>
      </c>
      <c r="W36" s="10" t="str">
        <v>Daniel King</v>
      </c>
      <c r="X36" s="10" t="str">
        <v>P010</v>
      </c>
      <c r="Y36" s="10" t="str">
        <v>Keyboard</v>
      </c>
      <c r="Z36" s="10" t="str">
        <v>Electronics</v>
      </c>
      <c r="AA36" s="10">
        <v>2</v>
      </c>
      <c r="AB36" s="10">
        <v>89.99</v>
      </c>
      <c r="AC36" s="10" t="str">
        <v>Credit Card</v>
      </c>
      <c r="AD36" s="10" t="str">
        <v>South</v>
      </c>
      <c r="AE36" s="10" t="str">
        <v>Premium</v>
      </c>
      <c r="AF36" s="37">
        <v>44564</v>
      </c>
      <c r="AG36" s="10">
        <v>179.98</v>
      </c>
    </row>
    <row r="37" spans="2:33">
      <c r="B37" s="10" t="str">
        <v>CUST014</v>
      </c>
      <c r="C37" s="10" t="str">
        <v>Linda Martin</v>
      </c>
      <c r="D37" s="10" t="str">
        <v>P003</v>
      </c>
      <c r="E37" s="10" t="str">
        <v>Headphones</v>
      </c>
      <c r="F37" s="10" t="str">
        <v>Electronics</v>
      </c>
      <c r="G37" s="10">
        <v>2</v>
      </c>
      <c r="H37" s="10">
        <v>299.98</v>
      </c>
      <c r="K37" s="10" t="str">
        <v>CUST019</v>
      </c>
      <c r="L37" s="10" t="str">
        <v>Daniel King</v>
      </c>
      <c r="M37" s="10" t="str">
        <v>P007</v>
      </c>
      <c r="N37" s="10" t="str">
        <v>Desk</v>
      </c>
      <c r="O37" s="10" t="str">
        <v>Furniture</v>
      </c>
      <c r="P37" s="10">
        <v>3</v>
      </c>
      <c r="Q37" s="10">
        <v>899.97</v>
      </c>
      <c r="T37" s="10" t="str">
        <v>TRX0075</v>
      </c>
      <c r="U37" s="37">
        <v>45517</v>
      </c>
      <c r="V37" s="10" t="str">
        <v>CUST020</v>
      </c>
      <c r="W37" s="10" t="str">
        <v>Margaret Wright</v>
      </c>
      <c r="X37" s="10" t="str">
        <v>P009</v>
      </c>
      <c r="Y37" s="10" t="str">
        <v>Monitor</v>
      </c>
      <c r="Z37" s="10" t="str">
        <v>Electronics</v>
      </c>
      <c r="AA37" s="10">
        <v>5</v>
      </c>
      <c r="AB37" s="10">
        <v>249.99</v>
      </c>
      <c r="AC37" s="10" t="str">
        <v>PayPal</v>
      </c>
      <c r="AD37" s="10" t="str">
        <v>East</v>
      </c>
      <c r="AE37" s="10" t="str">
        <v>Premium</v>
      </c>
      <c r="AF37" s="37">
        <v>44782</v>
      </c>
      <c r="AG37" s="10">
        <v>1249.95</v>
      </c>
    </row>
    <row r="38" spans="2:33">
      <c r="B38" s="10" t="str">
        <v>CUST016</v>
      </c>
      <c r="C38" s="10" t="str">
        <v>Elizabeth Hall</v>
      </c>
      <c r="D38" s="10" t="str">
        <v>P002</v>
      </c>
      <c r="E38" s="10" t="str">
        <v>Smartphone</v>
      </c>
      <c r="F38" s="10" t="str">
        <v>Electronics</v>
      </c>
      <c r="G38" s="10">
        <v>2</v>
      </c>
      <c r="H38" s="10">
        <v>1399.98</v>
      </c>
      <c r="K38" s="10" t="str">
        <v>CUST019</v>
      </c>
      <c r="L38" s="10" t="str">
        <v>Daniel King</v>
      </c>
      <c r="M38" s="10" t="str">
        <v>P007</v>
      </c>
      <c r="N38" s="10" t="str">
        <v>Desk</v>
      </c>
      <c r="O38" s="10" t="str">
        <v>Furniture</v>
      </c>
      <c r="P38" s="10">
        <v>3</v>
      </c>
      <c r="Q38" s="10">
        <v>899.97</v>
      </c>
      <c r="T38" s="10" t="str">
        <v>TRX0090</v>
      </c>
      <c r="U38" s="37">
        <v>45605</v>
      </c>
      <c r="V38" s="10" t="str">
        <v>CUST020</v>
      </c>
      <c r="W38" s="10" t="str">
        <v>Margaret Wright</v>
      </c>
      <c r="X38" s="10" t="str">
        <v>P009</v>
      </c>
      <c r="Y38" s="10" t="str">
        <v>Monitor</v>
      </c>
      <c r="Z38" s="10" t="str">
        <v>Electronics</v>
      </c>
      <c r="AA38" s="10">
        <v>1</v>
      </c>
      <c r="AB38" s="10">
        <v>249.99</v>
      </c>
      <c r="AC38" s="10" t="str">
        <v>Credit Card</v>
      </c>
      <c r="AD38" s="10" t="str">
        <v>North</v>
      </c>
      <c r="AE38" s="10" t="str">
        <v>Premium</v>
      </c>
      <c r="AF38" s="37">
        <v>44828</v>
      </c>
      <c r="AG38" s="10">
        <v>249.99</v>
      </c>
    </row>
    <row r="39" spans="2:33">
      <c r="B39" s="10" t="str">
        <v>CUST016</v>
      </c>
      <c r="C39" s="10" t="str">
        <v>Elizabeth Hall</v>
      </c>
      <c r="D39" s="10" t="str">
        <v>P010</v>
      </c>
      <c r="E39" s="10" t="str">
        <v>Keyboard</v>
      </c>
      <c r="F39" s="10" t="str">
        <v>Electronics</v>
      </c>
      <c r="G39" s="10">
        <v>5</v>
      </c>
      <c r="H39" s="10">
        <v>449.95</v>
      </c>
      <c r="K39" s="10" t="str">
        <v>CUST020</v>
      </c>
      <c r="L39" s="10" t="str">
        <v>Margaret Wright</v>
      </c>
      <c r="M39" s="10" t="str">
        <v>P008</v>
      </c>
      <c r="N39" s="10" t="str">
        <v>Bookshelf</v>
      </c>
      <c r="O39" s="10" t="str">
        <v>Furniture</v>
      </c>
      <c r="P39" s="10">
        <v>1</v>
      </c>
      <c r="Q39" s="10">
        <v>149.99</v>
      </c>
      <c r="T39" s="10" t="str">
        <v>TRX0041</v>
      </c>
      <c r="U39" s="37">
        <v>45432</v>
      </c>
      <c r="V39" s="10" t="str">
        <v>CUST021</v>
      </c>
      <c r="W39" s="10" t="str">
        <v>Kevin Scott</v>
      </c>
      <c r="X39" s="10" t="str">
        <v>P001</v>
      </c>
      <c r="Y39" s="10" t="str">
        <v>Laptop</v>
      </c>
      <c r="Z39" s="10" t="str">
        <v>Electronics</v>
      </c>
      <c r="AA39" s="10">
        <v>1</v>
      </c>
      <c r="AB39" s="10">
        <v>899.99</v>
      </c>
      <c r="AC39" s="10" t="str">
        <v>Credit Card</v>
      </c>
      <c r="AD39" s="10" t="str">
        <v>West</v>
      </c>
      <c r="AE39" s="10" t="str">
        <v>Premium</v>
      </c>
      <c r="AF39" s="37">
        <v>44578</v>
      </c>
      <c r="AG39" s="10">
        <v>899.99</v>
      </c>
    </row>
    <row r="40" spans="2:33">
      <c r="B40" s="10" t="str">
        <v>CUST017</v>
      </c>
      <c r="C40" s="10" t="str">
        <v>Charles Allen</v>
      </c>
      <c r="D40" s="10" t="str">
        <v>P010</v>
      </c>
      <c r="E40" s="10" t="str">
        <v>Keyboard</v>
      </c>
      <c r="F40" s="10" t="str">
        <v>Electronics</v>
      </c>
      <c r="G40" s="10">
        <v>1</v>
      </c>
      <c r="H40" s="10">
        <v>89.99</v>
      </c>
      <c r="K40" s="10" t="str">
        <v>CUST021</v>
      </c>
      <c r="L40" s="10" t="str">
        <v>Kevin Scott</v>
      </c>
      <c r="M40" s="10" t="str">
        <v>P007</v>
      </c>
      <c r="N40" s="10" t="str">
        <v>Desk</v>
      </c>
      <c r="O40" s="10" t="str">
        <v>Furniture</v>
      </c>
      <c r="P40" s="10">
        <v>3</v>
      </c>
      <c r="Q40" s="10">
        <v>899.97</v>
      </c>
      <c r="T40" s="10" t="str">
        <v>TRX0078</v>
      </c>
      <c r="U40" s="37">
        <v>45469</v>
      </c>
      <c r="V40" s="10" t="str">
        <v>CUST021</v>
      </c>
      <c r="W40" s="10" t="str">
        <v>Kevin Scott</v>
      </c>
      <c r="X40" s="10" t="str">
        <v>P004</v>
      </c>
      <c r="Y40" s="10" t="str">
        <v>Coffee Maker</v>
      </c>
      <c r="Z40" s="10" t="str">
        <v>Appliances</v>
      </c>
      <c r="AA40" s="10">
        <v>1</v>
      </c>
      <c r="AB40" s="10">
        <v>79.989999999999995</v>
      </c>
      <c r="AC40" s="10" t="str">
        <v>PayPal</v>
      </c>
      <c r="AD40" s="10" t="str">
        <v>Central</v>
      </c>
      <c r="AE40" s="10" t="str">
        <v>Premium</v>
      </c>
      <c r="AF40" s="37">
        <v>45352</v>
      </c>
      <c r="AG40" s="10">
        <v>79.989999999999995</v>
      </c>
    </row>
    <row r="41" spans="2:33">
      <c r="B41" s="10" t="str">
        <v>CUST017</v>
      </c>
      <c r="C41" s="10" t="str">
        <v>Charles Allen</v>
      </c>
      <c r="D41" s="10" t="str">
        <v>P010</v>
      </c>
      <c r="E41" s="10" t="str">
        <v>Keyboard</v>
      </c>
      <c r="F41" s="10" t="str">
        <v>Electronics</v>
      </c>
      <c r="G41" s="10">
        <v>1</v>
      </c>
      <c r="H41" s="10">
        <v>89.99</v>
      </c>
      <c r="K41" s="10" t="str">
        <v>CUST021</v>
      </c>
      <c r="L41" s="10" t="str">
        <v>Kevin Scott</v>
      </c>
      <c r="M41" s="10" t="str">
        <v>P007</v>
      </c>
      <c r="N41" s="10" t="str">
        <v>Desk</v>
      </c>
      <c r="O41" s="10" t="str">
        <v>Furniture</v>
      </c>
      <c r="P41" s="10">
        <v>2</v>
      </c>
      <c r="Q41" s="10">
        <v>599.98</v>
      </c>
      <c r="T41" s="10" t="str">
        <v>TRX0045</v>
      </c>
      <c r="U41" s="37">
        <v>45627</v>
      </c>
      <c r="V41" s="10" t="str">
        <v>CUST021</v>
      </c>
      <c r="W41" s="10" t="str">
        <v>Kevin Scott</v>
      </c>
      <c r="X41" s="10" t="str">
        <v>P007</v>
      </c>
      <c r="Y41" s="10" t="str">
        <v>Desk</v>
      </c>
      <c r="Z41" s="10" t="str">
        <v>Furniture</v>
      </c>
      <c r="AA41" s="10">
        <v>3</v>
      </c>
      <c r="AB41" s="10">
        <v>299.99</v>
      </c>
      <c r="AC41" s="10" t="str">
        <v>Cash</v>
      </c>
      <c r="AD41" s="10" t="str">
        <v>South</v>
      </c>
      <c r="AE41" s="10" t="str">
        <v>Premium</v>
      </c>
      <c r="AF41" s="37">
        <v>44659</v>
      </c>
      <c r="AG41" s="10">
        <v>899.97</v>
      </c>
    </row>
    <row r="42" spans="2:33">
      <c r="B42" s="10" t="str">
        <v>CUST017</v>
      </c>
      <c r="C42" s="10" t="str">
        <v>Charles Allen</v>
      </c>
      <c r="D42" s="10" t="str">
        <v>P009</v>
      </c>
      <c r="E42" s="10" t="str">
        <v>Monitor</v>
      </c>
      <c r="F42" s="10" t="str">
        <v>Electronics</v>
      </c>
      <c r="G42" s="10">
        <v>5</v>
      </c>
      <c r="H42" s="10">
        <v>1249.95</v>
      </c>
      <c r="K42" s="10" t="str">
        <v>CUST021</v>
      </c>
      <c r="L42" s="10" t="str">
        <v>Kevin Scott</v>
      </c>
      <c r="M42" s="10" t="str">
        <v>P006</v>
      </c>
      <c r="N42" s="10" t="str">
        <v>Office Chair</v>
      </c>
      <c r="O42" s="10" t="str">
        <v>Furniture</v>
      </c>
      <c r="P42" s="10">
        <v>3</v>
      </c>
      <c r="Q42" s="10">
        <v>599.97</v>
      </c>
      <c r="T42" s="10" t="str">
        <v>TRX0074</v>
      </c>
      <c r="U42" s="37">
        <v>45537</v>
      </c>
      <c r="V42" s="10" t="str">
        <v>CUST023</v>
      </c>
      <c r="W42" s="10" t="str">
        <v>Paul Baker</v>
      </c>
      <c r="X42" s="10" t="str">
        <v>P009</v>
      </c>
      <c r="Y42" s="10" t="str">
        <v>Monitor</v>
      </c>
      <c r="Z42" s="10" t="str">
        <v>Electronics</v>
      </c>
      <c r="AA42" s="10">
        <v>1</v>
      </c>
      <c r="AB42" s="10">
        <v>249.99</v>
      </c>
      <c r="AC42" s="10" t="str">
        <v>Debit Card</v>
      </c>
      <c r="AD42" s="10" t="str">
        <v>North</v>
      </c>
      <c r="AE42" s="10" t="str">
        <v>Premium</v>
      </c>
      <c r="AF42" s="37">
        <v>45332</v>
      </c>
      <c r="AG42" s="10">
        <v>249.99</v>
      </c>
    </row>
    <row r="43" spans="2:33">
      <c r="B43" s="10" t="str">
        <v>CUST018</v>
      </c>
      <c r="C43" s="10" t="str">
        <v>Barbara Young</v>
      </c>
      <c r="D43" s="10" t="str">
        <v>P002</v>
      </c>
      <c r="E43" s="10" t="str">
        <v>Smartphone</v>
      </c>
      <c r="F43" s="10" t="str">
        <v>Electronics</v>
      </c>
      <c r="G43" s="10">
        <v>5</v>
      </c>
      <c r="H43" s="10">
        <v>3499.95</v>
      </c>
      <c r="K43" s="10" t="str">
        <v>CUST022</v>
      </c>
      <c r="L43" s="10" t="str">
        <v>Susan Green</v>
      </c>
      <c r="M43" s="10" t="str">
        <v>P008</v>
      </c>
      <c r="N43" s="10" t="str">
        <v>Bookshelf</v>
      </c>
      <c r="O43" s="10" t="str">
        <v>Furniture</v>
      </c>
      <c r="P43" s="10">
        <v>1</v>
      </c>
      <c r="Q43" s="10">
        <v>149.99</v>
      </c>
      <c r="T43" s="10" t="str">
        <v>TRX0172</v>
      </c>
      <c r="U43" s="37">
        <v>45607</v>
      </c>
      <c r="V43" s="10" t="str">
        <v>CUST023</v>
      </c>
      <c r="W43" s="10" t="str">
        <v>Paul Baker</v>
      </c>
      <c r="X43" s="10" t="str">
        <v>P005</v>
      </c>
      <c r="Y43" s="10" t="str">
        <v>Blender</v>
      </c>
      <c r="Z43" s="10" t="str">
        <v>Appliances</v>
      </c>
      <c r="AA43" s="10">
        <v>5</v>
      </c>
      <c r="AB43" s="10">
        <v>59.99</v>
      </c>
      <c r="AC43" s="10" t="str">
        <v>PayPal</v>
      </c>
      <c r="AD43" s="10" t="str">
        <v>West</v>
      </c>
      <c r="AE43" s="10" t="str">
        <v>Premium</v>
      </c>
      <c r="AF43" s="37">
        <v>44694</v>
      </c>
      <c r="AG43" s="10">
        <v>299.95</v>
      </c>
    </row>
    <row r="44" spans="2:33">
      <c r="B44" s="10" t="str">
        <v>CUST018</v>
      </c>
      <c r="C44" s="10" t="str">
        <v>Barbara Young</v>
      </c>
      <c r="D44" s="10" t="str">
        <v>P010</v>
      </c>
      <c r="E44" s="10" t="str">
        <v>Keyboard</v>
      </c>
      <c r="F44" s="10" t="str">
        <v>Electronics</v>
      </c>
      <c r="G44" s="10">
        <v>5</v>
      </c>
      <c r="H44" s="10">
        <v>449.95</v>
      </c>
      <c r="K44" s="10" t="str">
        <v>CUST022</v>
      </c>
      <c r="L44" s="10" t="str">
        <v>Susan Green</v>
      </c>
      <c r="M44" s="10" t="str">
        <v>P007</v>
      </c>
      <c r="N44" s="10" t="str">
        <v>Desk</v>
      </c>
      <c r="O44" s="10" t="str">
        <v>Furniture</v>
      </c>
      <c r="P44" s="10">
        <v>5</v>
      </c>
      <c r="Q44" s="10">
        <v>1499.95</v>
      </c>
      <c r="T44" s="10" t="str">
        <v>TRX0233</v>
      </c>
      <c r="U44" s="37">
        <v>45723</v>
      </c>
      <c r="V44" s="10" t="str">
        <v>CUST023</v>
      </c>
      <c r="W44" s="10" t="str">
        <v>Paul Baker</v>
      </c>
      <c r="X44" s="10" t="str">
        <v>P010</v>
      </c>
      <c r="Y44" s="10" t="str">
        <v>Keyboard</v>
      </c>
      <c r="Z44" s="10" t="str">
        <v>Electronics</v>
      </c>
      <c r="AA44" s="10">
        <v>2</v>
      </c>
      <c r="AB44" s="10">
        <v>89.99</v>
      </c>
      <c r="AC44" s="10" t="str">
        <v>Credit Card</v>
      </c>
      <c r="AD44" s="10" t="str">
        <v>West</v>
      </c>
      <c r="AE44" s="10" t="str">
        <v>Premium</v>
      </c>
      <c r="AF44" s="37">
        <v>45295</v>
      </c>
      <c r="AG44" s="10">
        <v>179.98</v>
      </c>
    </row>
    <row r="45" spans="2:33">
      <c r="B45" s="10" t="str">
        <v>CUST018</v>
      </c>
      <c r="C45" s="10" t="str">
        <v>Barbara Young</v>
      </c>
      <c r="D45" s="10" t="str">
        <v>P009</v>
      </c>
      <c r="E45" s="10" t="str">
        <v>Monitor</v>
      </c>
      <c r="F45" s="10" t="str">
        <v>Electronics</v>
      </c>
      <c r="G45" s="10">
        <v>2</v>
      </c>
      <c r="H45" s="10">
        <v>499.98</v>
      </c>
      <c r="K45" s="10" t="str">
        <v>CUST023</v>
      </c>
      <c r="L45" s="10" t="str">
        <v>Paul Baker</v>
      </c>
      <c r="M45" s="10" t="str">
        <v>P007</v>
      </c>
      <c r="N45" s="10" t="str">
        <v>Desk</v>
      </c>
      <c r="O45" s="10" t="str">
        <v>Furniture</v>
      </c>
      <c r="P45" s="10">
        <v>3</v>
      </c>
      <c r="Q45" s="10">
        <v>899.97</v>
      </c>
      <c r="T45" s="10" t="str">
        <v>TRX0019</v>
      </c>
      <c r="U45" s="37">
        <v>45739</v>
      </c>
      <c r="V45" s="10" t="str">
        <v>CUST023</v>
      </c>
      <c r="W45" s="10" t="str">
        <v>Paul Baker</v>
      </c>
      <c r="X45" s="10" t="str">
        <v>P007</v>
      </c>
      <c r="Y45" s="10" t="str">
        <v>Desk</v>
      </c>
      <c r="Z45" s="10" t="str">
        <v>Furniture</v>
      </c>
      <c r="AA45" s="10">
        <v>3</v>
      </c>
      <c r="AB45" s="10">
        <v>299.99</v>
      </c>
      <c r="AC45" s="10" t="str">
        <v>Credit Card</v>
      </c>
      <c r="AD45" s="10" t="str">
        <v>West</v>
      </c>
      <c r="AE45" s="10" t="str">
        <v>Premium</v>
      </c>
      <c r="AF45" s="37">
        <v>45234</v>
      </c>
      <c r="AG45" s="10">
        <v>899.97</v>
      </c>
    </row>
    <row r="46" spans="2:33">
      <c r="B46" s="10" t="str">
        <v>CUST018</v>
      </c>
      <c r="C46" s="10" t="str">
        <v>Barbara Young</v>
      </c>
      <c r="D46" s="10" t="str">
        <v>P002</v>
      </c>
      <c r="E46" s="10" t="str">
        <v>Smartphone</v>
      </c>
      <c r="F46" s="10" t="str">
        <v>Electronics</v>
      </c>
      <c r="G46" s="10">
        <v>5</v>
      </c>
      <c r="H46" s="10">
        <v>3499.95</v>
      </c>
      <c r="K46" s="10" t="str">
        <v>CUST024</v>
      </c>
      <c r="L46" s="10" t="str">
        <v>Dorothy Nelson</v>
      </c>
      <c r="M46" s="10" t="str">
        <v>P007</v>
      </c>
      <c r="N46" s="10" t="str">
        <v>Desk</v>
      </c>
      <c r="O46" s="10" t="str">
        <v>Furniture</v>
      </c>
      <c r="P46" s="10">
        <v>3</v>
      </c>
      <c r="Q46" s="10">
        <v>899.97</v>
      </c>
      <c r="T46" s="10" t="str">
        <v>TRX0108</v>
      </c>
      <c r="U46" s="37">
        <v>45547</v>
      </c>
      <c r="V46" s="10" t="str">
        <v>CUST024</v>
      </c>
      <c r="W46" s="10" t="str">
        <v>Dorothy Nelson</v>
      </c>
      <c r="X46" s="10" t="str">
        <v>P007</v>
      </c>
      <c r="Y46" s="10" t="str">
        <v>Desk</v>
      </c>
      <c r="Z46" s="10" t="str">
        <v>Furniture</v>
      </c>
      <c r="AA46" s="10">
        <v>3</v>
      </c>
      <c r="AB46" s="10">
        <v>299.99</v>
      </c>
      <c r="AC46" s="10" t="str">
        <v>Credit Card</v>
      </c>
      <c r="AD46" s="10" t="str">
        <v>Central</v>
      </c>
      <c r="AE46" s="10" t="str">
        <v>Premium</v>
      </c>
      <c r="AF46" s="37">
        <v>44494</v>
      </c>
      <c r="AG46" s="10">
        <v>899.97</v>
      </c>
    </row>
    <row r="47" spans="2:33">
      <c r="B47" s="10" t="str">
        <v>CUST018</v>
      </c>
      <c r="C47" s="10" t="str">
        <v>Barbara Young</v>
      </c>
      <c r="D47" s="10" t="str">
        <v>P001</v>
      </c>
      <c r="E47" s="10" t="str">
        <v>Laptop</v>
      </c>
      <c r="F47" s="10" t="str">
        <v>Electronics</v>
      </c>
      <c r="G47" s="10">
        <v>3</v>
      </c>
      <c r="H47" s="10">
        <v>2699.97</v>
      </c>
      <c r="K47" s="10" t="str">
        <v>CUST025</v>
      </c>
      <c r="L47" s="10" t="str">
        <v>Mark Carter</v>
      </c>
      <c r="M47" s="10" t="str">
        <v>P008</v>
      </c>
      <c r="N47" s="10" t="str">
        <v>Bookshelf</v>
      </c>
      <c r="O47" s="10" t="str">
        <v>Furniture</v>
      </c>
      <c r="P47" s="10">
        <v>4</v>
      </c>
      <c r="Q47" s="10">
        <v>599.96</v>
      </c>
      <c r="T47" s="10" t="str">
        <v>TRX0066</v>
      </c>
      <c r="U47" s="37">
        <v>45630</v>
      </c>
      <c r="V47" s="10" t="str">
        <v>CUST024</v>
      </c>
      <c r="W47" s="10" t="str">
        <v>Dorothy Nelson</v>
      </c>
      <c r="X47" s="10" t="str">
        <v>P002</v>
      </c>
      <c r="Y47" s="10" t="str">
        <v>Smartphone</v>
      </c>
      <c r="Z47" s="10" t="str">
        <v>Electronics</v>
      </c>
      <c r="AA47" s="10">
        <v>4</v>
      </c>
      <c r="AB47" s="10">
        <v>699.99</v>
      </c>
      <c r="AC47" s="10" t="str">
        <v>Credit Card</v>
      </c>
      <c r="AD47" s="10" t="str">
        <v>North</v>
      </c>
      <c r="AE47" s="10" t="str">
        <v>Premium</v>
      </c>
      <c r="AF47" s="37">
        <v>44703</v>
      </c>
      <c r="AG47" s="10">
        <v>2799.96</v>
      </c>
    </row>
    <row r="48" spans="2:33">
      <c r="B48" s="10" t="str">
        <v>CUST019</v>
      </c>
      <c r="C48" s="10" t="str">
        <v>Daniel King</v>
      </c>
      <c r="D48" s="10" t="str">
        <v>P010</v>
      </c>
      <c r="E48" s="10" t="str">
        <v>Keyboard</v>
      </c>
      <c r="F48" s="10" t="str">
        <v>Electronics</v>
      </c>
      <c r="G48" s="10">
        <v>5</v>
      </c>
      <c r="H48" s="10">
        <v>449.95</v>
      </c>
      <c r="K48" s="10" t="str">
        <v>CUST025</v>
      </c>
      <c r="L48" s="10" t="str">
        <v>Mark Carter</v>
      </c>
      <c r="M48" s="10" t="str">
        <v>P007</v>
      </c>
      <c r="N48" s="10" t="str">
        <v>Desk</v>
      </c>
      <c r="O48" s="10" t="str">
        <v>Furniture</v>
      </c>
      <c r="P48" s="10">
        <v>4</v>
      </c>
      <c r="Q48" s="10">
        <v>1199.96</v>
      </c>
      <c r="T48" s="10" t="str">
        <v>TRX0159</v>
      </c>
      <c r="U48" s="37">
        <v>45683</v>
      </c>
      <c r="V48" s="10" t="str">
        <v>CUST024</v>
      </c>
      <c r="W48" s="10" t="str">
        <v>Dorothy Nelson</v>
      </c>
      <c r="X48" s="10" t="str">
        <v>P009</v>
      </c>
      <c r="Y48" s="10" t="str">
        <v>Monitor</v>
      </c>
      <c r="Z48" s="10" t="str">
        <v>Electronics</v>
      </c>
      <c r="AA48" s="10">
        <v>4</v>
      </c>
      <c r="AB48" s="10">
        <v>249.99</v>
      </c>
      <c r="AC48" s="10" t="str">
        <v>Debit Card</v>
      </c>
      <c r="AD48" s="10" t="str">
        <v>Central</v>
      </c>
      <c r="AE48" s="10" t="str">
        <v>Premium</v>
      </c>
      <c r="AF48" s="37">
        <v>45217</v>
      </c>
      <c r="AG48" s="10">
        <v>999.96</v>
      </c>
    </row>
    <row r="49" spans="2:33">
      <c r="B49" s="10" t="str">
        <v>CUST019</v>
      </c>
      <c r="C49" s="10" t="str">
        <v>Daniel King</v>
      </c>
      <c r="D49" s="10" t="str">
        <v>P001</v>
      </c>
      <c r="E49" s="10" t="str">
        <v>Laptop</v>
      </c>
      <c r="F49" s="10" t="str">
        <v>Electronics</v>
      </c>
      <c r="G49" s="10">
        <v>5</v>
      </c>
      <c r="H49" s="10">
        <v>4499.95</v>
      </c>
      <c r="K49" s="10" t="str">
        <v>CUST025</v>
      </c>
      <c r="L49" s="10" t="str">
        <v>Mark Carter</v>
      </c>
      <c r="M49" s="10" t="str">
        <v>P007</v>
      </c>
      <c r="N49" s="10" t="str">
        <v>Desk</v>
      </c>
      <c r="O49" s="10" t="str">
        <v>Furniture</v>
      </c>
      <c r="P49" s="10">
        <v>5</v>
      </c>
      <c r="Q49" s="10">
        <v>1499.95</v>
      </c>
      <c r="T49" s="10" t="str">
        <v>TRX0049</v>
      </c>
      <c r="U49" s="37">
        <v>45410</v>
      </c>
      <c r="V49" s="10" t="str">
        <v>CUST025</v>
      </c>
      <c r="W49" s="10" t="str">
        <v>Mark Carter</v>
      </c>
      <c r="X49" s="10" t="str">
        <v>P008</v>
      </c>
      <c r="Y49" s="10" t="str">
        <v>Bookshelf</v>
      </c>
      <c r="Z49" s="10" t="str">
        <v>Furniture</v>
      </c>
      <c r="AA49" s="10">
        <v>4</v>
      </c>
      <c r="AB49" s="10">
        <v>149.99</v>
      </c>
      <c r="AC49" s="10" t="str">
        <v>Debit Card</v>
      </c>
      <c r="AD49" s="10" t="str">
        <v>North</v>
      </c>
      <c r="AE49" s="10" t="str">
        <v>Premium</v>
      </c>
      <c r="AF49" s="37">
        <v>45374</v>
      </c>
      <c r="AG49" s="10">
        <v>599.96</v>
      </c>
    </row>
    <row r="50" spans="2:33">
      <c r="B50" s="10" t="str">
        <v>CUST019</v>
      </c>
      <c r="C50" s="10" t="str">
        <v>Daniel King</v>
      </c>
      <c r="D50" s="10" t="str">
        <v>P010</v>
      </c>
      <c r="E50" s="10" t="str">
        <v>Keyboard</v>
      </c>
      <c r="F50" s="10" t="str">
        <v>Electronics</v>
      </c>
      <c r="G50" s="10">
        <v>2</v>
      </c>
      <c r="H50" s="10">
        <v>179.98</v>
      </c>
      <c r="K50" s="10" t="str">
        <v>CUST025</v>
      </c>
      <c r="L50" s="10" t="str">
        <v>Mark Carter</v>
      </c>
      <c r="M50" s="10" t="str">
        <v>P007</v>
      </c>
      <c r="N50" s="10" t="str">
        <v>Desk</v>
      </c>
      <c r="O50" s="10" t="str">
        <v>Furniture</v>
      </c>
      <c r="P50" s="10">
        <v>1</v>
      </c>
      <c r="Q50" s="10">
        <v>299.99</v>
      </c>
      <c r="T50" s="10" t="str">
        <v>TRX0242</v>
      </c>
      <c r="U50" s="37">
        <v>45416</v>
      </c>
      <c r="V50" s="10" t="str">
        <v>CUST025</v>
      </c>
      <c r="W50" s="10" t="str">
        <v>Mark Carter</v>
      </c>
      <c r="X50" s="10" t="str">
        <v>P007</v>
      </c>
      <c r="Y50" s="10" t="str">
        <v>Desk</v>
      </c>
      <c r="Z50" s="10" t="str">
        <v>Furniture</v>
      </c>
      <c r="AA50" s="10">
        <v>4</v>
      </c>
      <c r="AB50" s="10">
        <v>299.99</v>
      </c>
      <c r="AC50" s="10" t="str">
        <v>Cash</v>
      </c>
      <c r="AD50" s="10" t="str">
        <v>West</v>
      </c>
      <c r="AE50" s="10" t="str">
        <v>Premium</v>
      </c>
      <c r="AF50" s="37">
        <v>44716</v>
      </c>
      <c r="AG50" s="10">
        <v>1199.96</v>
      </c>
    </row>
    <row r="51" spans="2:33">
      <c r="B51" s="10" t="str">
        <v>CUST020</v>
      </c>
      <c r="C51" s="10" t="str">
        <v>Margaret Wright</v>
      </c>
      <c r="D51" s="10" t="str">
        <v>P009</v>
      </c>
      <c r="E51" s="10" t="str">
        <v>Monitor</v>
      </c>
      <c r="F51" s="10" t="str">
        <v>Electronics</v>
      </c>
      <c r="G51" s="10">
        <v>5</v>
      </c>
      <c r="H51" s="10">
        <v>1249.95</v>
      </c>
      <c r="K51" s="10" t="str">
        <v>CUST025</v>
      </c>
      <c r="L51" s="10" t="str">
        <v>Mark Carter</v>
      </c>
      <c r="M51" s="10" t="str">
        <v>P007</v>
      </c>
      <c r="N51" s="10" t="str">
        <v>Desk</v>
      </c>
      <c r="O51" s="10" t="str">
        <v>Furniture</v>
      </c>
      <c r="P51" s="10">
        <v>3</v>
      </c>
      <c r="Q51" s="10">
        <v>899.97</v>
      </c>
      <c r="T51" s="10" t="str">
        <v>TRX0217</v>
      </c>
      <c r="U51" s="37">
        <v>45503</v>
      </c>
      <c r="V51" s="10" t="str">
        <v>CUST025</v>
      </c>
      <c r="W51" s="10" t="str">
        <v>Mark Carter</v>
      </c>
      <c r="X51" s="10" t="str">
        <v>P002</v>
      </c>
      <c r="Y51" s="10" t="str">
        <v>Smartphone</v>
      </c>
      <c r="Z51" s="10" t="str">
        <v>Electronics</v>
      </c>
      <c r="AA51" s="10">
        <v>2</v>
      </c>
      <c r="AB51" s="10">
        <v>699.99</v>
      </c>
      <c r="AC51" s="10" t="str">
        <v>Credit Card</v>
      </c>
      <c r="AD51" s="10" t="str">
        <v>North</v>
      </c>
      <c r="AE51" s="10" t="str">
        <v>Premium</v>
      </c>
      <c r="AF51" s="37">
        <v>44999</v>
      </c>
      <c r="AG51" s="10">
        <v>1399.98</v>
      </c>
    </row>
    <row r="52" spans="2:33">
      <c r="B52" s="10" t="str">
        <v>CUST020</v>
      </c>
      <c r="C52" s="10" t="str">
        <v>Margaret Wright</v>
      </c>
      <c r="D52" s="10" t="str">
        <v>P009</v>
      </c>
      <c r="E52" s="10" t="str">
        <v>Monitor</v>
      </c>
      <c r="F52" s="10" t="str">
        <v>Electronics</v>
      </c>
      <c r="G52" s="10">
        <v>1</v>
      </c>
      <c r="H52" s="10">
        <v>249.99</v>
      </c>
      <c r="K52" s="10" t="str">
        <v>CUST026</v>
      </c>
      <c r="L52" s="10" t="str">
        <v>Karen Hill</v>
      </c>
      <c r="M52" s="10" t="str">
        <v>P006</v>
      </c>
      <c r="N52" s="10" t="str">
        <v>Office Chair</v>
      </c>
      <c r="O52" s="10" t="str">
        <v>Furniture</v>
      </c>
      <c r="P52" s="10">
        <v>3</v>
      </c>
      <c r="Q52" s="10">
        <v>599.97</v>
      </c>
      <c r="T52" s="10" t="str">
        <v>TRX0140</v>
      </c>
      <c r="U52" s="37">
        <v>45522</v>
      </c>
      <c r="V52" s="10" t="str">
        <v>CUST025</v>
      </c>
      <c r="W52" s="10" t="str">
        <v>Mark Carter</v>
      </c>
      <c r="X52" s="10" t="str">
        <v>P010</v>
      </c>
      <c r="Y52" s="10" t="str">
        <v>Keyboard</v>
      </c>
      <c r="Z52" s="10" t="str">
        <v>Electronics</v>
      </c>
      <c r="AA52" s="10">
        <v>2</v>
      </c>
      <c r="AB52" s="10">
        <v>89.99</v>
      </c>
      <c r="AC52" s="10" t="str">
        <v>Cash</v>
      </c>
      <c r="AD52" s="10" t="str">
        <v>East</v>
      </c>
      <c r="AE52" s="10" t="str">
        <v>Premium</v>
      </c>
      <c r="AF52" s="37">
        <v>44972</v>
      </c>
      <c r="AG52" s="10">
        <v>179.98</v>
      </c>
    </row>
    <row r="53" spans="2:33">
      <c r="B53" s="10" t="str">
        <v>CUST020</v>
      </c>
      <c r="C53" s="10" t="str">
        <v>Margaret Wright</v>
      </c>
      <c r="D53" s="10" t="str">
        <v>P010</v>
      </c>
      <c r="E53" s="10" t="str">
        <v>Keyboard</v>
      </c>
      <c r="F53" s="10" t="str">
        <v>Electronics</v>
      </c>
      <c r="G53" s="10">
        <v>5</v>
      </c>
      <c r="H53" s="10">
        <v>449.95</v>
      </c>
      <c r="K53" s="10" t="str">
        <v>CUST026</v>
      </c>
      <c r="L53" s="10" t="str">
        <v>Karen Hill</v>
      </c>
      <c r="M53" s="10" t="str">
        <v>P007</v>
      </c>
      <c r="N53" s="10" t="str">
        <v>Desk</v>
      </c>
      <c r="O53" s="10" t="str">
        <v>Furniture</v>
      </c>
      <c r="P53" s="10">
        <v>3</v>
      </c>
      <c r="Q53" s="10">
        <v>899.97</v>
      </c>
      <c r="T53" s="10" t="str">
        <v>TRX0207</v>
      </c>
      <c r="U53" s="37">
        <v>45657</v>
      </c>
      <c r="V53" s="10" t="str">
        <v>CUST025</v>
      </c>
      <c r="W53" s="10" t="str">
        <v>Mark Carter</v>
      </c>
      <c r="X53" s="10" t="str">
        <v>P001</v>
      </c>
      <c r="Y53" s="10" t="str">
        <v>Laptop</v>
      </c>
      <c r="Z53" s="10" t="str">
        <v>Electronics</v>
      </c>
      <c r="AA53" s="10">
        <v>1</v>
      </c>
      <c r="AB53" s="10">
        <v>899.99</v>
      </c>
      <c r="AC53" s="10" t="str">
        <v>PayPal</v>
      </c>
      <c r="AD53" s="10" t="str">
        <v>North</v>
      </c>
      <c r="AE53" s="10" t="str">
        <v>Premium</v>
      </c>
      <c r="AF53" s="37">
        <v>45050</v>
      </c>
      <c r="AG53" s="10">
        <v>899.99</v>
      </c>
    </row>
    <row r="54" spans="2:33">
      <c r="B54" s="10" t="str">
        <v>CUST021</v>
      </c>
      <c r="C54" s="10" t="str">
        <v>Kevin Scott</v>
      </c>
      <c r="D54" s="10" t="str">
        <v>P001</v>
      </c>
      <c r="E54" s="10" t="str">
        <v>Laptop</v>
      </c>
      <c r="F54" s="10" t="str">
        <v>Electronics</v>
      </c>
      <c r="G54" s="10">
        <v>1</v>
      </c>
      <c r="H54" s="10">
        <v>899.99</v>
      </c>
      <c r="K54" s="10" t="str">
        <v>CUST028</v>
      </c>
      <c r="L54" s="10" t="str">
        <v>Betty Campbell</v>
      </c>
      <c r="M54" s="10" t="str">
        <v>P006</v>
      </c>
      <c r="N54" s="10" t="str">
        <v>Office Chair</v>
      </c>
      <c r="O54" s="10" t="str">
        <v>Furniture</v>
      </c>
      <c r="P54" s="10">
        <v>5</v>
      </c>
      <c r="Q54" s="10">
        <v>999.95</v>
      </c>
      <c r="T54" s="10" t="str">
        <v>TRX0185</v>
      </c>
      <c r="U54" s="37">
        <v>45408</v>
      </c>
      <c r="V54" s="10" t="str">
        <v>CUST026</v>
      </c>
      <c r="W54" s="10" t="str">
        <v>Karen Hill</v>
      </c>
      <c r="X54" s="10" t="str">
        <v>P005</v>
      </c>
      <c r="Y54" s="10" t="str">
        <v>Blender</v>
      </c>
      <c r="Z54" s="10" t="str">
        <v>Appliances</v>
      </c>
      <c r="AA54" s="10">
        <v>3</v>
      </c>
      <c r="AB54" s="10">
        <v>59.99</v>
      </c>
      <c r="AC54" s="10" t="str">
        <v>Cash</v>
      </c>
      <c r="AD54" s="10" t="str">
        <v>West</v>
      </c>
      <c r="AE54" s="10" t="str">
        <v>Premium</v>
      </c>
      <c r="AF54" s="37">
        <v>45207</v>
      </c>
      <c r="AG54" s="10">
        <v>179.97</v>
      </c>
    </row>
    <row r="55" spans="2:33">
      <c r="B55" s="10" t="str">
        <v>CUST022</v>
      </c>
      <c r="C55" s="10" t="str">
        <v>Susan Green</v>
      </c>
      <c r="D55" s="10" t="str">
        <v>P010</v>
      </c>
      <c r="E55" s="10" t="str">
        <v>Keyboard</v>
      </c>
      <c r="F55" s="10" t="str">
        <v>Electronics</v>
      </c>
      <c r="G55" s="10">
        <v>1</v>
      </c>
      <c r="H55" s="10">
        <v>89.99</v>
      </c>
      <c r="K55" s="10" t="str">
        <v>CUST029</v>
      </c>
      <c r="L55" s="10" t="str">
        <v>Edward Mitchell</v>
      </c>
      <c r="M55" s="10" t="str">
        <v>P006</v>
      </c>
      <c r="N55" s="10" t="str">
        <v>Office Chair</v>
      </c>
      <c r="O55" s="10" t="str">
        <v>Furniture</v>
      </c>
      <c r="P55" s="10">
        <v>4</v>
      </c>
      <c r="Q55" s="10">
        <v>799.96</v>
      </c>
      <c r="T55" s="10" t="str">
        <v>TRX0131</v>
      </c>
      <c r="U55" s="37">
        <v>45491</v>
      </c>
      <c r="V55" s="10" t="str">
        <v>CUST026</v>
      </c>
      <c r="W55" s="10" t="str">
        <v>Karen Hill</v>
      </c>
      <c r="X55" s="10" t="str">
        <v>P006</v>
      </c>
      <c r="Y55" s="10" t="str">
        <v>Office Chair</v>
      </c>
      <c r="Z55" s="10" t="str">
        <v>Furniture</v>
      </c>
      <c r="AA55" s="10">
        <v>3</v>
      </c>
      <c r="AB55" s="10">
        <v>199.99</v>
      </c>
      <c r="AC55" s="10" t="str">
        <v>Cash</v>
      </c>
      <c r="AD55" s="10" t="str">
        <v>North</v>
      </c>
      <c r="AE55" s="10" t="str">
        <v>Premium</v>
      </c>
      <c r="AF55" s="37">
        <v>45254</v>
      </c>
      <c r="AG55" s="10">
        <v>599.97</v>
      </c>
    </row>
    <row r="56" spans="2:33">
      <c r="B56" s="10" t="str">
        <v>CUST023</v>
      </c>
      <c r="C56" s="10" t="str">
        <v>Paul Baker</v>
      </c>
      <c r="D56" s="10" t="str">
        <v>P009</v>
      </c>
      <c r="E56" s="10" t="str">
        <v>Monitor</v>
      </c>
      <c r="F56" s="10" t="str">
        <v>Electronics</v>
      </c>
      <c r="G56" s="10">
        <v>3</v>
      </c>
      <c r="H56" s="10">
        <v>749.97</v>
      </c>
      <c r="K56" s="10" t="str">
        <v>CUST030</v>
      </c>
      <c r="L56" s="10" t="str">
        <v>Helen Roberts</v>
      </c>
      <c r="M56" s="10" t="str">
        <v>P008</v>
      </c>
      <c r="N56" s="10" t="str">
        <v>Bookshelf</v>
      </c>
      <c r="O56" s="10" t="str">
        <v>Furniture</v>
      </c>
      <c r="P56" s="10">
        <v>1</v>
      </c>
      <c r="Q56" s="10">
        <v>149.99</v>
      </c>
      <c r="T56" s="10" t="str">
        <v>TRX0098</v>
      </c>
      <c r="U56" s="37">
        <v>45517</v>
      </c>
      <c r="V56" s="10" t="str">
        <v>CUST026</v>
      </c>
      <c r="W56" s="10" t="str">
        <v>Karen Hill</v>
      </c>
      <c r="X56" s="10" t="str">
        <v>P009</v>
      </c>
      <c r="Y56" s="10" t="str">
        <v>Monitor</v>
      </c>
      <c r="Z56" s="10" t="str">
        <v>Electronics</v>
      </c>
      <c r="AA56" s="10">
        <v>3</v>
      </c>
      <c r="AB56" s="10">
        <v>249.99</v>
      </c>
      <c r="AC56" s="10" t="str">
        <v>PayPal</v>
      </c>
      <c r="AD56" s="10" t="str">
        <v>North</v>
      </c>
      <c r="AE56" s="10" t="str">
        <v>Premium</v>
      </c>
      <c r="AF56" s="37">
        <v>44465</v>
      </c>
      <c r="AG56" s="10">
        <v>749.97</v>
      </c>
    </row>
    <row r="57" spans="2:33">
      <c r="B57" s="10" t="str">
        <v>CUST023</v>
      </c>
      <c r="C57" s="10" t="str">
        <v>Paul Baker</v>
      </c>
      <c r="D57" s="10" t="str">
        <v>P001</v>
      </c>
      <c r="E57" s="10" t="str">
        <v>Laptop</v>
      </c>
      <c r="F57" s="10" t="str">
        <v>Electronics</v>
      </c>
      <c r="G57" s="10">
        <v>5</v>
      </c>
      <c r="H57" s="10">
        <v>4499.95</v>
      </c>
      <c r="K57" s="10" t="str">
        <v>CUST030</v>
      </c>
      <c r="L57" s="10" t="str">
        <v>Helen Roberts</v>
      </c>
      <c r="M57" s="10" t="str">
        <v>P006</v>
      </c>
      <c r="N57" s="10" t="str">
        <v>Office Chair</v>
      </c>
      <c r="O57" s="10" t="str">
        <v>Furniture</v>
      </c>
      <c r="P57" s="10">
        <v>4</v>
      </c>
      <c r="Q57" s="10">
        <v>799.96</v>
      </c>
      <c r="T57" s="10" t="str">
        <v>TRX0125</v>
      </c>
      <c r="U57" s="37">
        <v>45666</v>
      </c>
      <c r="V57" s="10" t="str">
        <v>CUST026</v>
      </c>
      <c r="W57" s="10" t="str">
        <v>Karen Hill</v>
      </c>
      <c r="X57" s="10" t="str">
        <v>P002</v>
      </c>
      <c r="Y57" s="10" t="str">
        <v>Smartphone</v>
      </c>
      <c r="Z57" s="10" t="str">
        <v>Electronics</v>
      </c>
      <c r="AA57" s="10">
        <v>3</v>
      </c>
      <c r="AB57" s="10">
        <v>699.99</v>
      </c>
      <c r="AC57" s="10" t="str">
        <v>Credit Card</v>
      </c>
      <c r="AD57" s="10" t="str">
        <v>Central</v>
      </c>
      <c r="AE57" s="10" t="str">
        <v>Premium</v>
      </c>
      <c r="AF57" s="37">
        <v>45105</v>
      </c>
      <c r="AG57" s="10">
        <v>2099.9699999999998</v>
      </c>
    </row>
    <row r="58" spans="2:33">
      <c r="B58" s="10" t="str">
        <v>CUST023</v>
      </c>
      <c r="C58" s="10" t="str">
        <v>Paul Baker</v>
      </c>
      <c r="D58" s="10" t="str">
        <v>P009</v>
      </c>
      <c r="E58" s="10" t="str">
        <v>Monitor</v>
      </c>
      <c r="F58" s="10" t="str">
        <v>Electronics</v>
      </c>
      <c r="G58" s="10">
        <v>1</v>
      </c>
      <c r="H58" s="10">
        <v>249.99</v>
      </c>
      <c r="K58" s="10" t="str">
        <v>CUST031</v>
      </c>
      <c r="L58" s="10" t="str">
        <v>Steven Turner</v>
      </c>
      <c r="M58" s="10" t="str">
        <v>P006</v>
      </c>
      <c r="N58" s="10" t="str">
        <v>Office Chair</v>
      </c>
      <c r="O58" s="10" t="str">
        <v>Furniture</v>
      </c>
      <c r="P58" s="10">
        <v>3</v>
      </c>
      <c r="Q58" s="10">
        <v>599.97</v>
      </c>
      <c r="T58" s="10" t="str">
        <v>TRX0010</v>
      </c>
      <c r="U58" s="37">
        <v>45688</v>
      </c>
      <c r="V58" s="10" t="str">
        <v>CUST026</v>
      </c>
      <c r="W58" s="10" t="str">
        <v>Karen Hill</v>
      </c>
      <c r="X58" s="10" t="str">
        <v>P002</v>
      </c>
      <c r="Y58" s="10" t="str">
        <v>Smartphone</v>
      </c>
      <c r="Z58" s="10" t="str">
        <v>Electronics</v>
      </c>
      <c r="AA58" s="10">
        <v>4</v>
      </c>
      <c r="AB58" s="10">
        <v>699.99</v>
      </c>
      <c r="AC58" s="10" t="str">
        <v>Debit Card</v>
      </c>
      <c r="AD58" s="10" t="str">
        <v>West</v>
      </c>
      <c r="AE58" s="10" t="str">
        <v>Premium</v>
      </c>
      <c r="AF58" s="37">
        <v>44692</v>
      </c>
      <c r="AG58" s="10">
        <v>2799.96</v>
      </c>
    </row>
    <row r="59" spans="2:33">
      <c r="B59" s="10" t="str">
        <v>CUST023</v>
      </c>
      <c r="C59" s="10" t="str">
        <v>Paul Baker</v>
      </c>
      <c r="D59" s="10" t="str">
        <v>P009</v>
      </c>
      <c r="E59" s="10" t="str">
        <v>Monitor</v>
      </c>
      <c r="F59" s="10" t="str">
        <v>Electronics</v>
      </c>
      <c r="G59" s="10">
        <v>5</v>
      </c>
      <c r="H59" s="10">
        <v>1249.95</v>
      </c>
      <c r="K59" s="10" t="str">
        <v>CUST031</v>
      </c>
      <c r="L59" s="10" t="str">
        <v>Steven Turner</v>
      </c>
      <c r="M59" s="10" t="str">
        <v>P007</v>
      </c>
      <c r="N59" s="10" t="str">
        <v>Desk</v>
      </c>
      <c r="O59" s="10" t="str">
        <v>Furniture</v>
      </c>
      <c r="P59" s="10">
        <v>2</v>
      </c>
      <c r="Q59" s="10">
        <v>599.98</v>
      </c>
      <c r="T59" s="10" t="str">
        <v>TRX0250</v>
      </c>
      <c r="U59" s="37">
        <v>45746</v>
      </c>
      <c r="V59" s="10" t="str">
        <v>CUST026</v>
      </c>
      <c r="W59" s="10" t="str">
        <v>Karen Hill</v>
      </c>
      <c r="X59" s="10" t="str">
        <v>P010</v>
      </c>
      <c r="Y59" s="10" t="str">
        <v>Keyboard</v>
      </c>
      <c r="Z59" s="10" t="str">
        <v>Electronics</v>
      </c>
      <c r="AA59" s="10">
        <v>2</v>
      </c>
      <c r="AB59" s="10">
        <v>89.99</v>
      </c>
      <c r="AC59" s="10" t="str">
        <v>Debit Card</v>
      </c>
      <c r="AD59" s="10" t="str">
        <v>West</v>
      </c>
      <c r="AE59" s="10" t="str">
        <v>Premium</v>
      </c>
      <c r="AF59" s="37">
        <v>44522</v>
      </c>
      <c r="AG59" s="10">
        <v>179.98</v>
      </c>
    </row>
    <row r="60" spans="2:33">
      <c r="B60" s="10" t="str">
        <v>CUST023</v>
      </c>
      <c r="C60" s="10" t="str">
        <v>Paul Baker</v>
      </c>
      <c r="D60" s="10" t="str">
        <v>P010</v>
      </c>
      <c r="E60" s="10" t="str">
        <v>Keyboard</v>
      </c>
      <c r="F60" s="10" t="str">
        <v>Electronics</v>
      </c>
      <c r="G60" s="10">
        <v>2</v>
      </c>
      <c r="H60" s="10">
        <v>179.98</v>
      </c>
      <c r="K60" s="10" t="str">
        <v>CUST031</v>
      </c>
      <c r="L60" s="10" t="str">
        <v>Steven Turner</v>
      </c>
      <c r="M60" s="10" t="str">
        <v>P006</v>
      </c>
      <c r="N60" s="10" t="str">
        <v>Office Chair</v>
      </c>
      <c r="O60" s="10" t="str">
        <v>Furniture</v>
      </c>
      <c r="P60" s="10">
        <v>2</v>
      </c>
      <c r="Q60" s="10">
        <v>399.98</v>
      </c>
      <c r="T60" s="10" t="str">
        <v>TRX0061</v>
      </c>
      <c r="U60" s="37">
        <v>45460</v>
      </c>
      <c r="V60" s="10" t="str">
        <v>CUST028</v>
      </c>
      <c r="W60" s="10" t="str">
        <v>Betty Campbell</v>
      </c>
      <c r="X60" s="10" t="str">
        <v>P005</v>
      </c>
      <c r="Y60" s="10" t="str">
        <v>Blender</v>
      </c>
      <c r="Z60" s="10" t="str">
        <v>Appliances</v>
      </c>
      <c r="AA60" s="10">
        <v>1</v>
      </c>
      <c r="AB60" s="10">
        <v>59.99</v>
      </c>
      <c r="AC60" s="10" t="str">
        <v>Debit Card</v>
      </c>
      <c r="AD60" s="10" t="str">
        <v>West</v>
      </c>
      <c r="AE60" s="10" t="str">
        <v>Premium</v>
      </c>
      <c r="AF60" s="37">
        <v>45190</v>
      </c>
      <c r="AG60" s="10">
        <v>59.99</v>
      </c>
    </row>
    <row r="61" spans="2:33">
      <c r="B61" s="10" t="str">
        <v>CUST023</v>
      </c>
      <c r="C61" s="10" t="str">
        <v>Paul Baker</v>
      </c>
      <c r="D61" s="10" t="str">
        <v>P010</v>
      </c>
      <c r="E61" s="10" t="str">
        <v>Keyboard</v>
      </c>
      <c r="F61" s="10" t="str">
        <v>Electronics</v>
      </c>
      <c r="G61" s="10">
        <v>2</v>
      </c>
      <c r="H61" s="10">
        <v>179.98</v>
      </c>
      <c r="K61" s="10" t="str">
        <v>CUST032</v>
      </c>
      <c r="L61" s="10" t="str">
        <v>Sandra Phillips</v>
      </c>
      <c r="M61" s="10" t="str">
        <v>P008</v>
      </c>
      <c r="N61" s="10" t="str">
        <v>Bookshelf</v>
      </c>
      <c r="O61" s="10" t="str">
        <v>Furniture</v>
      </c>
      <c r="P61" s="10">
        <v>5</v>
      </c>
      <c r="Q61" s="10">
        <v>749.95</v>
      </c>
      <c r="T61" s="10" t="str">
        <v>TRX0027</v>
      </c>
      <c r="U61" s="37">
        <v>45519</v>
      </c>
      <c r="V61" s="10" t="str">
        <v>CUST028</v>
      </c>
      <c r="W61" s="10" t="str">
        <v>Betty Campbell</v>
      </c>
      <c r="X61" s="10" t="str">
        <v>P006</v>
      </c>
      <c r="Y61" s="10" t="str">
        <v>Office Chair</v>
      </c>
      <c r="Z61" s="10" t="str">
        <v>Furniture</v>
      </c>
      <c r="AA61" s="10">
        <v>5</v>
      </c>
      <c r="AB61" s="10">
        <v>199.99</v>
      </c>
      <c r="AC61" s="10" t="str">
        <v>Cash</v>
      </c>
      <c r="AD61" s="10" t="str">
        <v>North</v>
      </c>
      <c r="AE61" s="10" t="str">
        <v>Premium</v>
      </c>
      <c r="AF61" s="37">
        <v>44991</v>
      </c>
      <c r="AG61" s="10">
        <v>999.95</v>
      </c>
    </row>
    <row r="62" spans="2:33">
      <c r="B62" s="10" t="str">
        <v>CUST024</v>
      </c>
      <c r="C62" s="10" t="str">
        <v>Dorothy Nelson</v>
      </c>
      <c r="D62" s="10" t="str">
        <v>P003</v>
      </c>
      <c r="E62" s="10" t="str">
        <v>Headphones</v>
      </c>
      <c r="F62" s="10" t="str">
        <v>Electronics</v>
      </c>
      <c r="G62" s="10">
        <v>5</v>
      </c>
      <c r="H62" s="10">
        <v>749.95</v>
      </c>
      <c r="K62" s="10" t="str">
        <v>CUST032</v>
      </c>
      <c r="L62" s="10" t="str">
        <v>Sandra Phillips</v>
      </c>
      <c r="M62" s="10" t="str">
        <v>P007</v>
      </c>
      <c r="N62" s="10" t="str">
        <v>Desk</v>
      </c>
      <c r="O62" s="10" t="str">
        <v>Furniture</v>
      </c>
      <c r="P62" s="10">
        <v>3</v>
      </c>
      <c r="Q62" s="10">
        <v>899.97</v>
      </c>
      <c r="T62" s="10" t="str">
        <v>TRX0167</v>
      </c>
      <c r="U62" s="37">
        <v>45589</v>
      </c>
      <c r="V62" s="10" t="str">
        <v>CUST028</v>
      </c>
      <c r="W62" s="10" t="str">
        <v>Betty Campbell</v>
      </c>
      <c r="X62" s="10" t="str">
        <v>P002</v>
      </c>
      <c r="Y62" s="10" t="str">
        <v>Smartphone</v>
      </c>
      <c r="Z62" s="10" t="str">
        <v>Electronics</v>
      </c>
      <c r="AA62" s="10">
        <v>5</v>
      </c>
      <c r="AB62" s="10">
        <v>699.99</v>
      </c>
      <c r="AC62" s="10" t="str">
        <v>Cash</v>
      </c>
      <c r="AD62" s="10" t="str">
        <v>North</v>
      </c>
      <c r="AE62" s="10" t="str">
        <v>Premium</v>
      </c>
      <c r="AF62" s="37">
        <v>44635</v>
      </c>
      <c r="AG62" s="10">
        <v>3499.95</v>
      </c>
    </row>
    <row r="63" spans="2:33">
      <c r="B63" s="10" t="str">
        <v>CUST024</v>
      </c>
      <c r="C63" s="10" t="str">
        <v>Dorothy Nelson</v>
      </c>
      <c r="D63" s="10" t="str">
        <v>P002</v>
      </c>
      <c r="E63" s="10" t="str">
        <v>Smartphone</v>
      </c>
      <c r="F63" s="10" t="str">
        <v>Electronics</v>
      </c>
      <c r="G63" s="10">
        <v>4</v>
      </c>
      <c r="H63" s="10">
        <v>2799.96</v>
      </c>
      <c r="K63" s="10" t="str">
        <v>CUST033</v>
      </c>
      <c r="L63" s="10" t="str">
        <v>Frank Torres</v>
      </c>
      <c r="M63" s="10" t="str">
        <v>P007</v>
      </c>
      <c r="N63" s="10" t="str">
        <v>Desk</v>
      </c>
      <c r="O63" s="10" t="str">
        <v>Furniture</v>
      </c>
      <c r="P63" s="10">
        <v>1</v>
      </c>
      <c r="Q63" s="10">
        <v>299.99</v>
      </c>
      <c r="T63" s="10" t="str">
        <v>TRX0087</v>
      </c>
      <c r="U63" s="37">
        <v>45671</v>
      </c>
      <c r="V63" s="10" t="str">
        <v>CUST028</v>
      </c>
      <c r="W63" s="10" t="str">
        <v>Betty Campbell</v>
      </c>
      <c r="X63" s="10" t="str">
        <v>P009</v>
      </c>
      <c r="Y63" s="10" t="str">
        <v>Monitor</v>
      </c>
      <c r="Z63" s="10" t="str">
        <v>Electronics</v>
      </c>
      <c r="AA63" s="10">
        <v>4</v>
      </c>
      <c r="AB63" s="10">
        <v>249.99</v>
      </c>
      <c r="AC63" s="10" t="str">
        <v>Credit Card</v>
      </c>
      <c r="AD63" s="10" t="str">
        <v>North</v>
      </c>
      <c r="AE63" s="10" t="str">
        <v>Premium</v>
      </c>
      <c r="AF63" s="37">
        <v>44460</v>
      </c>
      <c r="AG63" s="10">
        <v>999.96</v>
      </c>
    </row>
    <row r="64" spans="2:33">
      <c r="B64" s="10" t="str">
        <v>CUST024</v>
      </c>
      <c r="C64" s="10" t="str">
        <v>Dorothy Nelson</v>
      </c>
      <c r="D64" s="10" t="str">
        <v>P009</v>
      </c>
      <c r="E64" s="10" t="str">
        <v>Monitor</v>
      </c>
      <c r="F64" s="10" t="str">
        <v>Electronics</v>
      </c>
      <c r="G64" s="10">
        <v>4</v>
      </c>
      <c r="H64" s="10">
        <v>999.96</v>
      </c>
      <c r="K64" s="10" t="str">
        <v>CUST033</v>
      </c>
      <c r="L64" s="10" t="str">
        <v>Frank Torres</v>
      </c>
      <c r="M64" s="10" t="str">
        <v>P006</v>
      </c>
      <c r="N64" s="10" t="str">
        <v>Office Chair</v>
      </c>
      <c r="O64" s="10" t="str">
        <v>Furniture</v>
      </c>
      <c r="P64" s="10">
        <v>2</v>
      </c>
      <c r="Q64" s="10">
        <v>399.98</v>
      </c>
      <c r="T64" s="10" t="str">
        <v>TRX0044</v>
      </c>
      <c r="U64" s="37">
        <v>45459</v>
      </c>
      <c r="V64" s="10" t="str">
        <v>CUST029</v>
      </c>
      <c r="W64" s="10" t="str">
        <v>Edward Mitchell</v>
      </c>
      <c r="X64" s="10" t="str">
        <v>P001</v>
      </c>
      <c r="Y64" s="10" t="str">
        <v>Laptop</v>
      </c>
      <c r="Z64" s="10" t="str">
        <v>Electronics</v>
      </c>
      <c r="AA64" s="10">
        <v>5</v>
      </c>
      <c r="AB64" s="10">
        <v>899.99</v>
      </c>
      <c r="AC64" s="10" t="str">
        <v>PayPal</v>
      </c>
      <c r="AD64" s="10" t="str">
        <v>East</v>
      </c>
      <c r="AE64" s="10" t="str">
        <v>Premium</v>
      </c>
      <c r="AF64" s="37">
        <v>45278</v>
      </c>
      <c r="AG64" s="10">
        <v>4499.95</v>
      </c>
    </row>
    <row r="65" spans="2:33">
      <c r="B65" s="10" t="str">
        <v>CUST024</v>
      </c>
      <c r="C65" s="10" t="str">
        <v>Dorothy Nelson</v>
      </c>
      <c r="D65" s="10" t="str">
        <v>P001</v>
      </c>
      <c r="E65" s="10" t="str">
        <v>Laptop</v>
      </c>
      <c r="F65" s="10" t="str">
        <v>Electronics</v>
      </c>
      <c r="G65" s="10">
        <v>3</v>
      </c>
      <c r="H65" s="10">
        <v>2699.97</v>
      </c>
      <c r="K65" s="10" t="str">
        <v>CUST033</v>
      </c>
      <c r="L65" s="10" t="str">
        <v>Frank Torres</v>
      </c>
      <c r="M65" s="10" t="str">
        <v>P006</v>
      </c>
      <c r="N65" s="10" t="str">
        <v>Office Chair</v>
      </c>
      <c r="O65" s="10" t="str">
        <v>Furniture</v>
      </c>
      <c r="P65" s="10">
        <v>3</v>
      </c>
      <c r="Q65" s="10">
        <v>599.97</v>
      </c>
      <c r="T65" s="10" t="str">
        <v>TRX0160</v>
      </c>
      <c r="U65" s="37">
        <v>45617</v>
      </c>
      <c r="V65" s="10" t="str">
        <v>CUST029</v>
      </c>
      <c r="W65" s="10" t="str">
        <v>Edward Mitchell</v>
      </c>
      <c r="X65" s="10" t="str">
        <v>P006</v>
      </c>
      <c r="Y65" s="10" t="str">
        <v>Office Chair</v>
      </c>
      <c r="Z65" s="10" t="str">
        <v>Furniture</v>
      </c>
      <c r="AA65" s="10">
        <v>4</v>
      </c>
      <c r="AB65" s="10">
        <v>199.99</v>
      </c>
      <c r="AC65" s="10" t="str">
        <v>Debit Card</v>
      </c>
      <c r="AD65" s="10" t="str">
        <v>Central</v>
      </c>
      <c r="AE65" s="10" t="str">
        <v>Premium</v>
      </c>
      <c r="AF65" s="37">
        <v>44427</v>
      </c>
      <c r="AG65" s="10">
        <v>799.96</v>
      </c>
    </row>
    <row r="66" spans="2:33">
      <c r="B66" s="10" t="str">
        <v>CUST025</v>
      </c>
      <c r="C66" s="10" t="str">
        <v>Mark Carter</v>
      </c>
      <c r="D66" s="10" t="str">
        <v>P001</v>
      </c>
      <c r="E66" s="10" t="str">
        <v>Laptop</v>
      </c>
      <c r="F66" s="10" t="str">
        <v>Electronics</v>
      </c>
      <c r="G66" s="10">
        <v>4</v>
      </c>
      <c r="H66" s="10">
        <v>3599.96</v>
      </c>
      <c r="K66" s="10" t="str">
        <v>CUST034</v>
      </c>
      <c r="L66" s="10" t="str">
        <v>Carol Evans</v>
      </c>
      <c r="M66" s="10" t="str">
        <v>P008</v>
      </c>
      <c r="N66" s="10" t="str">
        <v>Bookshelf</v>
      </c>
      <c r="O66" s="10" t="str">
        <v>Furniture</v>
      </c>
      <c r="P66" s="10">
        <v>3</v>
      </c>
      <c r="Q66" s="10">
        <v>449.97</v>
      </c>
      <c r="T66" s="10" t="str">
        <v>TRX0179</v>
      </c>
      <c r="U66" s="37">
        <v>45707</v>
      </c>
      <c r="V66" s="10" t="str">
        <v>CUST029</v>
      </c>
      <c r="W66" s="10" t="str">
        <v>Edward Mitchell</v>
      </c>
      <c r="X66" s="10" t="str">
        <v>P002</v>
      </c>
      <c r="Y66" s="10" t="str">
        <v>Smartphone</v>
      </c>
      <c r="Z66" s="10" t="str">
        <v>Electronics</v>
      </c>
      <c r="AA66" s="10">
        <v>5</v>
      </c>
      <c r="AB66" s="10">
        <v>699.99</v>
      </c>
      <c r="AC66" s="10" t="str">
        <v>PayPal</v>
      </c>
      <c r="AD66" s="10" t="str">
        <v>South</v>
      </c>
      <c r="AE66" s="10" t="str">
        <v>Premium</v>
      </c>
      <c r="AF66" s="37">
        <v>45352</v>
      </c>
      <c r="AG66" s="10">
        <v>3499.95</v>
      </c>
    </row>
    <row r="67" spans="2:33">
      <c r="B67" s="10" t="str">
        <v>CUST025</v>
      </c>
      <c r="C67" s="10" t="str">
        <v>Mark Carter</v>
      </c>
      <c r="D67" s="10" t="str">
        <v>P010</v>
      </c>
      <c r="E67" s="10" t="str">
        <v>Keyboard</v>
      </c>
      <c r="F67" s="10" t="str">
        <v>Electronics</v>
      </c>
      <c r="G67" s="10">
        <v>2</v>
      </c>
      <c r="H67" s="10">
        <v>179.98</v>
      </c>
      <c r="K67" s="10" t="str">
        <v>CUST036</v>
      </c>
      <c r="L67" s="10" t="str">
        <v>Nancy Collins</v>
      </c>
      <c r="M67" s="10" t="str">
        <v>P008</v>
      </c>
      <c r="N67" s="10" t="str">
        <v>Bookshelf</v>
      </c>
      <c r="O67" s="10" t="str">
        <v>Furniture</v>
      </c>
      <c r="P67" s="10">
        <v>5</v>
      </c>
      <c r="Q67" s="10">
        <v>749.95</v>
      </c>
      <c r="T67" s="10" t="str">
        <v>TRX0245</v>
      </c>
      <c r="U67" s="37">
        <v>45438</v>
      </c>
      <c r="V67" s="10" t="str">
        <v>CUST031</v>
      </c>
      <c r="W67" s="10" t="str">
        <v>Steven Turner</v>
      </c>
      <c r="X67" s="10" t="str">
        <v>P006</v>
      </c>
      <c r="Y67" s="10" t="str">
        <v>Office Chair</v>
      </c>
      <c r="Z67" s="10" t="str">
        <v>Furniture</v>
      </c>
      <c r="AA67" s="10">
        <v>3</v>
      </c>
      <c r="AB67" s="10">
        <v>199.99</v>
      </c>
      <c r="AC67" s="10" t="str">
        <v>Credit Card</v>
      </c>
      <c r="AD67" s="10" t="str">
        <v>North</v>
      </c>
      <c r="AE67" s="10" t="str">
        <v>Premium</v>
      </c>
      <c r="AF67" s="37">
        <v>45292</v>
      </c>
      <c r="AG67" s="10">
        <v>599.97</v>
      </c>
    </row>
    <row r="68" spans="2:33">
      <c r="B68" s="10" t="str">
        <v>CUST025</v>
      </c>
      <c r="C68" s="10" t="str">
        <v>Mark Carter</v>
      </c>
      <c r="D68" s="10" t="str">
        <v>P002</v>
      </c>
      <c r="E68" s="10" t="str">
        <v>Smartphone</v>
      </c>
      <c r="F68" s="10" t="str">
        <v>Electronics</v>
      </c>
      <c r="G68" s="10">
        <v>2</v>
      </c>
      <c r="H68" s="10">
        <v>1399.98</v>
      </c>
      <c r="K68" s="10" t="str">
        <v>CUST036</v>
      </c>
      <c r="L68" s="10" t="str">
        <v>Nancy Collins</v>
      </c>
      <c r="M68" s="10" t="str">
        <v>P006</v>
      </c>
      <c r="N68" s="10" t="str">
        <v>Office Chair</v>
      </c>
      <c r="O68" s="10" t="str">
        <v>Furniture</v>
      </c>
      <c r="P68" s="10">
        <v>5</v>
      </c>
      <c r="Q68" s="10">
        <v>999.95</v>
      </c>
      <c r="T68" s="10" t="str">
        <v>TRX0100</v>
      </c>
      <c r="U68" s="37">
        <v>45541</v>
      </c>
      <c r="V68" s="10" t="str">
        <v>CUST031</v>
      </c>
      <c r="W68" s="10" t="str">
        <v>Steven Turner</v>
      </c>
      <c r="X68" s="10" t="str">
        <v>P005</v>
      </c>
      <c r="Y68" s="10" t="str">
        <v>Blender</v>
      </c>
      <c r="Z68" s="10" t="str">
        <v>Appliances</v>
      </c>
      <c r="AA68" s="10">
        <v>3</v>
      </c>
      <c r="AB68" s="10">
        <v>59.99</v>
      </c>
      <c r="AC68" s="10" t="str">
        <v>Credit Card</v>
      </c>
      <c r="AD68" s="10" t="str">
        <v>Central</v>
      </c>
      <c r="AE68" s="10" t="str">
        <v>Premium</v>
      </c>
      <c r="AF68" s="37">
        <v>44717</v>
      </c>
      <c r="AG68" s="10">
        <v>179.97</v>
      </c>
    </row>
    <row r="69" spans="2:33">
      <c r="B69" s="10" t="str">
        <v>CUST025</v>
      </c>
      <c r="C69" s="10" t="str">
        <v>Mark Carter</v>
      </c>
      <c r="D69" s="10" t="str">
        <v>P010</v>
      </c>
      <c r="E69" s="10" t="str">
        <v>Keyboard</v>
      </c>
      <c r="F69" s="10" t="str">
        <v>Electronics</v>
      </c>
      <c r="G69" s="10">
        <v>2</v>
      </c>
      <c r="H69" s="10">
        <v>179.98</v>
      </c>
      <c r="K69" s="10" t="str">
        <v>CUST037</v>
      </c>
      <c r="L69" s="10" t="str">
        <v>Arthur Edwards</v>
      </c>
      <c r="M69" s="10" t="str">
        <v>P008</v>
      </c>
      <c r="N69" s="10" t="str">
        <v>Bookshelf</v>
      </c>
      <c r="O69" s="10" t="str">
        <v>Furniture</v>
      </c>
      <c r="P69" s="10">
        <v>4</v>
      </c>
      <c r="Q69" s="10">
        <v>599.96</v>
      </c>
      <c r="T69" s="10" t="str">
        <v>TRX0224</v>
      </c>
      <c r="U69" s="37">
        <v>45641</v>
      </c>
      <c r="V69" s="10" t="str">
        <v>CUST031</v>
      </c>
      <c r="W69" s="10" t="str">
        <v>Steven Turner</v>
      </c>
      <c r="X69" s="10" t="str">
        <v>P007</v>
      </c>
      <c r="Y69" s="10" t="str">
        <v>Desk</v>
      </c>
      <c r="Z69" s="10" t="str">
        <v>Furniture</v>
      </c>
      <c r="AA69" s="10">
        <v>2</v>
      </c>
      <c r="AB69" s="10">
        <v>299.99</v>
      </c>
      <c r="AC69" s="10" t="str">
        <v>Cash</v>
      </c>
      <c r="AD69" s="10" t="str">
        <v>East</v>
      </c>
      <c r="AE69" s="10" t="str">
        <v>Premium</v>
      </c>
      <c r="AF69" s="37">
        <v>44724</v>
      </c>
      <c r="AG69" s="10">
        <v>599.98</v>
      </c>
    </row>
    <row r="70" spans="2:33">
      <c r="B70" s="10" t="str">
        <v>CUST025</v>
      </c>
      <c r="C70" s="10" t="str">
        <v>Mark Carter</v>
      </c>
      <c r="D70" s="10" t="str">
        <v>P002</v>
      </c>
      <c r="E70" s="10" t="str">
        <v>Smartphone</v>
      </c>
      <c r="F70" s="10" t="str">
        <v>Electronics</v>
      </c>
      <c r="G70" s="10">
        <v>2</v>
      </c>
      <c r="H70" s="10">
        <v>1399.98</v>
      </c>
      <c r="K70" s="10" t="str">
        <v>CUST039</v>
      </c>
      <c r="L70" s="10" t="str">
        <v>Lawrence Reed</v>
      </c>
      <c r="M70" s="10" t="str">
        <v>P006</v>
      </c>
      <c r="N70" s="10" t="str">
        <v>Office Chair</v>
      </c>
      <c r="O70" s="10" t="str">
        <v>Furniture</v>
      </c>
      <c r="P70" s="10">
        <v>4</v>
      </c>
      <c r="Q70" s="10">
        <v>799.96</v>
      </c>
      <c r="T70" s="10" t="str">
        <v>TRX0182</v>
      </c>
      <c r="U70" s="37">
        <v>45712</v>
      </c>
      <c r="V70" s="10" t="str">
        <v>CUST031</v>
      </c>
      <c r="W70" s="10" t="str">
        <v>Steven Turner</v>
      </c>
      <c r="X70" s="10" t="str">
        <v>P006</v>
      </c>
      <c r="Y70" s="10" t="str">
        <v>Office Chair</v>
      </c>
      <c r="Z70" s="10" t="str">
        <v>Furniture</v>
      </c>
      <c r="AA70" s="10">
        <v>2</v>
      </c>
      <c r="AB70" s="10">
        <v>199.99</v>
      </c>
      <c r="AC70" s="10" t="str">
        <v>Cash</v>
      </c>
      <c r="AD70" s="10" t="str">
        <v>Central</v>
      </c>
      <c r="AE70" s="10" t="str">
        <v>Premium</v>
      </c>
      <c r="AF70" s="37">
        <v>44573</v>
      </c>
      <c r="AG70" s="10">
        <v>399.98</v>
      </c>
    </row>
    <row r="71" spans="2:33">
      <c r="B71" s="10" t="str">
        <v>CUST025</v>
      </c>
      <c r="C71" s="10" t="str">
        <v>Mark Carter</v>
      </c>
      <c r="D71" s="10" t="str">
        <v>P002</v>
      </c>
      <c r="E71" s="10" t="str">
        <v>Smartphone</v>
      </c>
      <c r="F71" s="10" t="str">
        <v>Electronics</v>
      </c>
      <c r="G71" s="10">
        <v>5</v>
      </c>
      <c r="H71" s="10">
        <v>3499.95</v>
      </c>
      <c r="K71" s="10" t="str">
        <v>CUST039</v>
      </c>
      <c r="L71" s="10" t="str">
        <v>Lawrence Reed</v>
      </c>
      <c r="M71" s="10" t="str">
        <v>P008</v>
      </c>
      <c r="N71" s="10" t="str">
        <v>Bookshelf</v>
      </c>
      <c r="O71" s="10" t="str">
        <v>Furniture</v>
      </c>
      <c r="P71" s="10">
        <v>2</v>
      </c>
      <c r="Q71" s="10">
        <v>299.98</v>
      </c>
      <c r="T71" s="10" t="str">
        <v>TRX0064</v>
      </c>
      <c r="U71" s="37">
        <v>45758</v>
      </c>
      <c r="V71" s="10" t="str">
        <v>CUST031</v>
      </c>
      <c r="W71" s="10" t="str">
        <v>Steven Turner</v>
      </c>
      <c r="X71" s="10" t="str">
        <v>P010</v>
      </c>
      <c r="Y71" s="10" t="str">
        <v>Keyboard</v>
      </c>
      <c r="Z71" s="10" t="str">
        <v>Electronics</v>
      </c>
      <c r="AA71" s="10">
        <v>3</v>
      </c>
      <c r="AB71" s="10">
        <v>89.99</v>
      </c>
      <c r="AC71" s="10" t="str">
        <v>Debit Card</v>
      </c>
      <c r="AD71" s="10" t="str">
        <v>North</v>
      </c>
      <c r="AE71" s="10" t="str">
        <v>Premium</v>
      </c>
      <c r="AF71" s="37">
        <v>44878</v>
      </c>
      <c r="AG71" s="10">
        <v>269.97000000000003</v>
      </c>
    </row>
    <row r="72" spans="2:33">
      <c r="B72" s="10" t="str">
        <v>CUST025</v>
      </c>
      <c r="C72" s="10" t="str">
        <v>Mark Carter</v>
      </c>
      <c r="D72" s="10" t="str">
        <v>P001</v>
      </c>
      <c r="E72" s="10" t="str">
        <v>Laptop</v>
      </c>
      <c r="F72" s="10" t="str">
        <v>Electronics</v>
      </c>
      <c r="G72" s="10">
        <v>1</v>
      </c>
      <c r="H72" s="10">
        <v>899.99</v>
      </c>
      <c r="K72" s="10" t="str">
        <v>CUST041</v>
      </c>
      <c r="L72" s="10" t="str">
        <v>Peter Richardson</v>
      </c>
      <c r="M72" s="10" t="str">
        <v>P008</v>
      </c>
      <c r="N72" s="10" t="str">
        <v>Bookshelf</v>
      </c>
      <c r="O72" s="10" t="str">
        <v>Furniture</v>
      </c>
      <c r="P72" s="10">
        <v>3</v>
      </c>
      <c r="Q72" s="10">
        <v>449.97</v>
      </c>
      <c r="T72" s="10" t="str">
        <v>TRX0248</v>
      </c>
      <c r="U72" s="37">
        <v>45534</v>
      </c>
      <c r="V72" s="10" t="str">
        <v>CUST032</v>
      </c>
      <c r="W72" s="10" t="str">
        <v>Sandra Phillips</v>
      </c>
      <c r="X72" s="10" t="str">
        <v>P002</v>
      </c>
      <c r="Y72" s="10" t="str">
        <v>Smartphone</v>
      </c>
      <c r="Z72" s="10" t="str">
        <v>Electronics</v>
      </c>
      <c r="AA72" s="10">
        <v>2</v>
      </c>
      <c r="AB72" s="10">
        <v>699.99</v>
      </c>
      <c r="AC72" s="10" t="str">
        <v>Credit Card</v>
      </c>
      <c r="AD72" s="10" t="str">
        <v>North</v>
      </c>
      <c r="AE72" s="10" t="str">
        <v>Premium</v>
      </c>
      <c r="AF72" s="37">
        <v>44421</v>
      </c>
      <c r="AG72" s="10">
        <v>1399.98</v>
      </c>
    </row>
    <row r="73" spans="2:33">
      <c r="B73" s="10" t="str">
        <v>CUST026</v>
      </c>
      <c r="C73" s="10" t="str">
        <v>Karen Hill</v>
      </c>
      <c r="D73" s="10" t="str">
        <v>P009</v>
      </c>
      <c r="E73" s="10" t="str">
        <v>Monitor</v>
      </c>
      <c r="F73" s="10" t="str">
        <v>Electronics</v>
      </c>
      <c r="G73" s="10">
        <v>3</v>
      </c>
      <c r="H73" s="10">
        <v>749.97</v>
      </c>
      <c r="K73" s="10" t="str">
        <v>CUST041</v>
      </c>
      <c r="L73" s="10" t="str">
        <v>Peter Richardson</v>
      </c>
      <c r="M73" s="10" t="str">
        <v>P008</v>
      </c>
      <c r="N73" s="10" t="str">
        <v>Bookshelf</v>
      </c>
      <c r="O73" s="10" t="str">
        <v>Furniture</v>
      </c>
      <c r="P73" s="10">
        <v>3</v>
      </c>
      <c r="Q73" s="10">
        <v>449.97</v>
      </c>
      <c r="T73" s="10" t="str">
        <v>TRX0203</v>
      </c>
      <c r="U73" s="37">
        <v>45572</v>
      </c>
      <c r="V73" s="10" t="str">
        <v>CUST032</v>
      </c>
      <c r="W73" s="10" t="str">
        <v>Sandra Phillips</v>
      </c>
      <c r="X73" s="10" t="str">
        <v>P003</v>
      </c>
      <c r="Y73" s="10" t="str">
        <v>Headphones</v>
      </c>
      <c r="Z73" s="10" t="str">
        <v>Electronics</v>
      </c>
      <c r="AA73" s="10">
        <v>4</v>
      </c>
      <c r="AB73" s="10">
        <v>149.99</v>
      </c>
      <c r="AC73" s="10" t="str">
        <v>Credit Card</v>
      </c>
      <c r="AD73" s="10" t="str">
        <v>North</v>
      </c>
      <c r="AE73" s="10" t="str">
        <v>Premium</v>
      </c>
      <c r="AF73" s="37">
        <v>45076</v>
      </c>
      <c r="AG73" s="10">
        <v>599.96</v>
      </c>
    </row>
    <row r="74" spans="2:33">
      <c r="B74" s="10" t="str">
        <v>CUST026</v>
      </c>
      <c r="C74" s="10" t="str">
        <v>Karen Hill</v>
      </c>
      <c r="D74" s="10" t="str">
        <v>P009</v>
      </c>
      <c r="E74" s="10" t="str">
        <v>Monitor</v>
      </c>
      <c r="F74" s="10" t="str">
        <v>Electronics</v>
      </c>
      <c r="G74" s="10">
        <v>2</v>
      </c>
      <c r="H74" s="10">
        <v>499.98</v>
      </c>
      <c r="K74" s="10" t="str">
        <v>CUST042</v>
      </c>
      <c r="L74" s="10" t="str">
        <v>Ruth Brooks</v>
      </c>
      <c r="M74" s="10" t="str">
        <v>P008</v>
      </c>
      <c r="N74" s="10" t="str">
        <v>Bookshelf</v>
      </c>
      <c r="O74" s="10" t="str">
        <v>Furniture</v>
      </c>
      <c r="P74" s="10">
        <v>3</v>
      </c>
      <c r="Q74" s="10">
        <v>449.97</v>
      </c>
      <c r="T74" s="10" t="str">
        <v>TRX0141</v>
      </c>
      <c r="U74" s="37">
        <v>45484</v>
      </c>
      <c r="V74" s="10" t="str">
        <v>CUST033</v>
      </c>
      <c r="W74" s="10" t="str">
        <v>Frank Torres</v>
      </c>
      <c r="X74" s="10" t="str">
        <v>P007</v>
      </c>
      <c r="Y74" s="10" t="str">
        <v>Desk</v>
      </c>
      <c r="Z74" s="10" t="str">
        <v>Furniture</v>
      </c>
      <c r="AA74" s="10">
        <v>1</v>
      </c>
      <c r="AB74" s="10">
        <v>299.99</v>
      </c>
      <c r="AC74" s="10" t="str">
        <v>Credit Card</v>
      </c>
      <c r="AD74" s="10" t="str">
        <v>North</v>
      </c>
      <c r="AE74" s="10" t="str">
        <v>Premium</v>
      </c>
      <c r="AF74" s="37">
        <v>44891</v>
      </c>
      <c r="AG74" s="10">
        <v>299.99</v>
      </c>
    </row>
    <row r="75" spans="2:33">
      <c r="B75" s="10" t="str">
        <v>CUST026</v>
      </c>
      <c r="C75" s="10" t="str">
        <v>Karen Hill</v>
      </c>
      <c r="D75" s="10" t="str">
        <v>P002</v>
      </c>
      <c r="E75" s="10" t="str">
        <v>Smartphone</v>
      </c>
      <c r="F75" s="10" t="str">
        <v>Electronics</v>
      </c>
      <c r="G75" s="10">
        <v>3</v>
      </c>
      <c r="H75" s="10">
        <v>2099.9699999999998</v>
      </c>
      <c r="K75" s="10" t="str">
        <v>CUST044</v>
      </c>
      <c r="L75" s="10" t="str">
        <v>Cynthia Price</v>
      </c>
      <c r="M75" s="10" t="str">
        <v>P008</v>
      </c>
      <c r="N75" s="10" t="str">
        <v>Bookshelf</v>
      </c>
      <c r="O75" s="10" t="str">
        <v>Furniture</v>
      </c>
      <c r="P75" s="10">
        <v>2</v>
      </c>
      <c r="Q75" s="10">
        <v>299.98</v>
      </c>
      <c r="T75" s="10" t="str">
        <v>TRX0221</v>
      </c>
      <c r="U75" s="37">
        <v>45708</v>
      </c>
      <c r="V75" s="10" t="str">
        <v>CUST033</v>
      </c>
      <c r="W75" s="10" t="str">
        <v>Frank Torres</v>
      </c>
      <c r="X75" s="10" t="str">
        <v>P006</v>
      </c>
      <c r="Y75" s="10" t="str">
        <v>Office Chair</v>
      </c>
      <c r="Z75" s="10" t="str">
        <v>Furniture</v>
      </c>
      <c r="AA75" s="10">
        <v>3</v>
      </c>
      <c r="AB75" s="10">
        <v>199.99</v>
      </c>
      <c r="AC75" s="10" t="str">
        <v>Cash</v>
      </c>
      <c r="AD75" s="10" t="str">
        <v>West</v>
      </c>
      <c r="AE75" s="10" t="str">
        <v>Premium</v>
      </c>
      <c r="AF75" s="37">
        <v>44823</v>
      </c>
      <c r="AG75" s="10">
        <v>599.97</v>
      </c>
    </row>
    <row r="76" spans="2:33">
      <c r="B76" s="10" t="str">
        <v>CUST026</v>
      </c>
      <c r="C76" s="10" t="str">
        <v>Karen Hill</v>
      </c>
      <c r="D76" s="10" t="str">
        <v>P002</v>
      </c>
      <c r="E76" s="10" t="str">
        <v>Smartphone</v>
      </c>
      <c r="F76" s="10" t="str">
        <v>Electronics</v>
      </c>
      <c r="G76" s="10">
        <v>4</v>
      </c>
      <c r="H76" s="10">
        <v>2799.96</v>
      </c>
      <c r="K76" s="10" t="str">
        <v>CUST044</v>
      </c>
      <c r="L76" s="10" t="str">
        <v>Cynthia Price</v>
      </c>
      <c r="M76" s="10" t="str">
        <v>P008</v>
      </c>
      <c r="N76" s="10" t="str">
        <v>Bookshelf</v>
      </c>
      <c r="O76" s="10" t="str">
        <v>Furniture</v>
      </c>
      <c r="P76" s="10">
        <v>5</v>
      </c>
      <c r="Q76" s="10">
        <v>749.95</v>
      </c>
      <c r="T76" s="10" t="str">
        <v>TRX0170</v>
      </c>
      <c r="U76" s="37">
        <v>45532</v>
      </c>
      <c r="V76" s="10" t="str">
        <v>CUST034</v>
      </c>
      <c r="W76" s="10" t="str">
        <v>Carol Evans</v>
      </c>
      <c r="X76" s="10" t="str">
        <v>P003</v>
      </c>
      <c r="Y76" s="10" t="str">
        <v>Headphones</v>
      </c>
      <c r="Z76" s="10" t="str">
        <v>Electronics</v>
      </c>
      <c r="AA76" s="10">
        <v>3</v>
      </c>
      <c r="AB76" s="10">
        <v>149.99</v>
      </c>
      <c r="AC76" s="10" t="str">
        <v>Cash</v>
      </c>
      <c r="AD76" s="10" t="str">
        <v>West</v>
      </c>
      <c r="AE76" s="10" t="str">
        <v>Premium</v>
      </c>
      <c r="AF76" s="37">
        <v>45212</v>
      </c>
      <c r="AG76" s="10">
        <v>449.97</v>
      </c>
    </row>
    <row r="77" spans="2:33">
      <c r="B77" s="10" t="str">
        <v>CUST026</v>
      </c>
      <c r="C77" s="10" t="str">
        <v>Karen Hill</v>
      </c>
      <c r="D77" s="10" t="str">
        <v>P010</v>
      </c>
      <c r="E77" s="10" t="str">
        <v>Keyboard</v>
      </c>
      <c r="F77" s="10" t="str">
        <v>Electronics</v>
      </c>
      <c r="G77" s="10">
        <v>2</v>
      </c>
      <c r="H77" s="10">
        <v>179.98</v>
      </c>
      <c r="K77" s="10" t="str">
        <v>CUST046</v>
      </c>
      <c r="L77" s="10" t="str">
        <v>Kathleen Bennett</v>
      </c>
      <c r="M77" s="10" t="str">
        <v>P008</v>
      </c>
      <c r="N77" s="10" t="str">
        <v>Bookshelf</v>
      </c>
      <c r="O77" s="10" t="str">
        <v>Furniture</v>
      </c>
      <c r="P77" s="10">
        <v>5</v>
      </c>
      <c r="Q77" s="10">
        <v>749.95</v>
      </c>
      <c r="T77" s="10" t="str">
        <v>TRX0099</v>
      </c>
      <c r="U77" s="37">
        <v>45537</v>
      </c>
      <c r="V77" s="10" t="str">
        <v>CUST034</v>
      </c>
      <c r="W77" s="10" t="str">
        <v>Carol Evans</v>
      </c>
      <c r="X77" s="10" t="str">
        <v>P009</v>
      </c>
      <c r="Y77" s="10" t="str">
        <v>Monitor</v>
      </c>
      <c r="Z77" s="10" t="str">
        <v>Electronics</v>
      </c>
      <c r="AA77" s="10">
        <v>1</v>
      </c>
      <c r="AB77" s="10">
        <v>249.99</v>
      </c>
      <c r="AC77" s="10" t="str">
        <v>Credit Card</v>
      </c>
      <c r="AD77" s="10" t="str">
        <v>West</v>
      </c>
      <c r="AE77" s="10" t="str">
        <v>Premium</v>
      </c>
      <c r="AF77" s="37">
        <v>44685</v>
      </c>
      <c r="AG77" s="10">
        <v>249.99</v>
      </c>
    </row>
    <row r="78" spans="2:33">
      <c r="B78" s="10" t="str">
        <v>CUST027</v>
      </c>
      <c r="C78" s="10" t="str">
        <v>George Adams</v>
      </c>
      <c r="D78" s="10" t="str">
        <v>P001</v>
      </c>
      <c r="E78" s="10" t="str">
        <v>Laptop</v>
      </c>
      <c r="F78" s="10" t="str">
        <v>Electronics</v>
      </c>
      <c r="G78" s="10">
        <v>1</v>
      </c>
      <c r="H78" s="10">
        <v>899.99</v>
      </c>
      <c r="K78" s="10" t="str">
        <v>CUST046</v>
      </c>
      <c r="L78" s="10" t="str">
        <v>Kathleen Bennett</v>
      </c>
      <c r="M78" s="10" t="str">
        <v>P006</v>
      </c>
      <c r="N78" s="10" t="str">
        <v>Office Chair</v>
      </c>
      <c r="O78" s="10" t="str">
        <v>Furniture</v>
      </c>
      <c r="P78" s="10">
        <v>4</v>
      </c>
      <c r="Q78" s="10">
        <v>799.96</v>
      </c>
      <c r="T78" s="10" t="str">
        <v>TRX0202</v>
      </c>
      <c r="U78" s="37">
        <v>45441</v>
      </c>
      <c r="V78" s="10" t="str">
        <v>CUST035</v>
      </c>
      <c r="W78" s="10" t="str">
        <v>Harry Morgan</v>
      </c>
      <c r="X78" s="10" t="str">
        <v>P010</v>
      </c>
      <c r="Y78" s="10" t="str">
        <v>Keyboard</v>
      </c>
      <c r="Z78" s="10" t="str">
        <v>Electronics</v>
      </c>
      <c r="AA78" s="10">
        <v>3</v>
      </c>
      <c r="AB78" s="10">
        <v>89.99</v>
      </c>
      <c r="AC78" s="10" t="str">
        <v>PayPal</v>
      </c>
      <c r="AD78" s="10" t="str">
        <v>Central</v>
      </c>
      <c r="AE78" s="10" t="str">
        <v>Premium</v>
      </c>
      <c r="AF78" s="37">
        <v>45120</v>
      </c>
      <c r="AG78" s="10">
        <v>269.97000000000003</v>
      </c>
    </row>
    <row r="79" spans="2:33">
      <c r="B79" s="10" t="str">
        <v>CUST027</v>
      </c>
      <c r="C79" s="10" t="str">
        <v>George Adams</v>
      </c>
      <c r="D79" s="10" t="str">
        <v>P001</v>
      </c>
      <c r="E79" s="10" t="str">
        <v>Laptop</v>
      </c>
      <c r="F79" s="10" t="str">
        <v>Electronics</v>
      </c>
      <c r="G79" s="10">
        <v>3</v>
      </c>
      <c r="H79" s="10">
        <v>2699.97</v>
      </c>
      <c r="K79" s="10" t="str">
        <v>CUST048</v>
      </c>
      <c r="L79" s="10" t="str">
        <v>Virginia Sanders</v>
      </c>
      <c r="M79" s="10" t="str">
        <v>P007</v>
      </c>
      <c r="N79" s="10" t="str">
        <v>Desk</v>
      </c>
      <c r="O79" s="10" t="str">
        <v>Furniture</v>
      </c>
      <c r="P79" s="10">
        <v>5</v>
      </c>
      <c r="Q79" s="10">
        <v>1499.95</v>
      </c>
      <c r="T79" s="10" t="str">
        <v>TRX0016</v>
      </c>
      <c r="U79" s="37">
        <v>45724</v>
      </c>
      <c r="V79" s="10" t="str">
        <v>CUST035</v>
      </c>
      <c r="W79" s="10" t="str">
        <v>Harry Morgan</v>
      </c>
      <c r="X79" s="10" t="str">
        <v>P001</v>
      </c>
      <c r="Y79" s="10" t="str">
        <v>Laptop</v>
      </c>
      <c r="Z79" s="10" t="str">
        <v>Electronics</v>
      </c>
      <c r="AA79" s="10">
        <v>5</v>
      </c>
      <c r="AB79" s="10">
        <v>899.99</v>
      </c>
      <c r="AC79" s="10" t="str">
        <v>PayPal</v>
      </c>
      <c r="AD79" s="10" t="str">
        <v>East</v>
      </c>
      <c r="AE79" s="10" t="str">
        <v>Premium</v>
      </c>
      <c r="AF79" s="37">
        <v>45389</v>
      </c>
      <c r="AG79" s="10">
        <v>4499.95</v>
      </c>
    </row>
    <row r="80" spans="2:33">
      <c r="B80" s="10" t="str">
        <v>CUST028</v>
      </c>
      <c r="C80" s="10" t="str">
        <v>Betty Campbell</v>
      </c>
      <c r="D80" s="10" t="str">
        <v>P010</v>
      </c>
      <c r="E80" s="10" t="str">
        <v>Keyboard</v>
      </c>
      <c r="F80" s="10" t="str">
        <v>Electronics</v>
      </c>
      <c r="G80" s="10">
        <v>1</v>
      </c>
      <c r="H80" s="10">
        <v>89.99</v>
      </c>
      <c r="K80" s="10" t="str">
        <v>CUST048</v>
      </c>
      <c r="L80" s="10" t="str">
        <v>Virginia Sanders</v>
      </c>
      <c r="M80" s="10" t="str">
        <v>P007</v>
      </c>
      <c r="N80" s="10" t="str">
        <v>Desk</v>
      </c>
      <c r="O80" s="10" t="str">
        <v>Furniture</v>
      </c>
      <c r="P80" s="10">
        <v>2</v>
      </c>
      <c r="Q80" s="10">
        <v>599.98</v>
      </c>
      <c r="T80" s="10" t="str">
        <v>TRX0180</v>
      </c>
      <c r="U80" s="37">
        <v>45635</v>
      </c>
      <c r="V80" s="10" t="str">
        <v>CUST036</v>
      </c>
      <c r="W80" s="10" t="str">
        <v>Nancy Collins</v>
      </c>
      <c r="X80" s="10" t="str">
        <v>P009</v>
      </c>
      <c r="Y80" s="10" t="str">
        <v>Monitor</v>
      </c>
      <c r="Z80" s="10" t="str">
        <v>Electronics</v>
      </c>
      <c r="AA80" s="10">
        <v>2</v>
      </c>
      <c r="AB80" s="10">
        <v>249.99</v>
      </c>
      <c r="AC80" s="10" t="str">
        <v>Credit Card</v>
      </c>
      <c r="AD80" s="10" t="str">
        <v>Central</v>
      </c>
      <c r="AE80" s="10" t="str">
        <v>Premium</v>
      </c>
      <c r="AF80" s="37">
        <v>44396</v>
      </c>
      <c r="AG80" s="10">
        <v>499.98</v>
      </c>
    </row>
    <row r="81" spans="2:33">
      <c r="B81" s="10" t="str">
        <v>CUST028</v>
      </c>
      <c r="C81" s="10" t="str">
        <v>Betty Campbell</v>
      </c>
      <c r="D81" s="10" t="str">
        <v>P002</v>
      </c>
      <c r="E81" s="10" t="str">
        <v>Smartphone</v>
      </c>
      <c r="F81" s="10" t="str">
        <v>Electronics</v>
      </c>
      <c r="G81" s="10">
        <v>5</v>
      </c>
      <c r="H81" s="10">
        <v>3499.95</v>
      </c>
      <c r="K81" s="10" t="str">
        <v>CUST048</v>
      </c>
      <c r="L81" s="10" t="str">
        <v>Virginia Sanders</v>
      </c>
      <c r="M81" s="10" t="str">
        <v>P008</v>
      </c>
      <c r="N81" s="10" t="str">
        <v>Bookshelf</v>
      </c>
      <c r="O81" s="10" t="str">
        <v>Furniture</v>
      </c>
      <c r="P81" s="10">
        <v>3</v>
      </c>
      <c r="Q81" s="10">
        <v>449.97</v>
      </c>
      <c r="T81" s="10" t="str">
        <v>TRX0147</v>
      </c>
      <c r="U81" s="37">
        <v>45655</v>
      </c>
      <c r="V81" s="10" t="str">
        <v>CUST036</v>
      </c>
      <c r="W81" s="10" t="str">
        <v>Nancy Collins</v>
      </c>
      <c r="X81" s="10" t="str">
        <v>P008</v>
      </c>
      <c r="Y81" s="10" t="str">
        <v>Bookshelf</v>
      </c>
      <c r="Z81" s="10" t="str">
        <v>Furniture</v>
      </c>
      <c r="AA81" s="10">
        <v>5</v>
      </c>
      <c r="AB81" s="10">
        <v>149.99</v>
      </c>
      <c r="AC81" s="10" t="str">
        <v>Cash</v>
      </c>
      <c r="AD81" s="10" t="str">
        <v>Central</v>
      </c>
      <c r="AE81" s="10" t="str">
        <v>Premium</v>
      </c>
      <c r="AF81" s="37">
        <v>45347</v>
      </c>
      <c r="AG81" s="10">
        <v>749.95</v>
      </c>
    </row>
    <row r="82" spans="2:33">
      <c r="B82" s="10" t="str">
        <v>CUST028</v>
      </c>
      <c r="C82" s="10" t="str">
        <v>Betty Campbell</v>
      </c>
      <c r="D82" s="10" t="str">
        <v>P009</v>
      </c>
      <c r="E82" s="10" t="str">
        <v>Monitor</v>
      </c>
      <c r="F82" s="10" t="str">
        <v>Electronics</v>
      </c>
      <c r="G82" s="10">
        <v>4</v>
      </c>
      <c r="H82" s="10">
        <v>999.96</v>
      </c>
      <c r="T82" s="10" t="str">
        <v>TRX0187</v>
      </c>
      <c r="U82" s="37">
        <v>45701</v>
      </c>
      <c r="V82" s="10" t="str">
        <v>CUST036</v>
      </c>
      <c r="W82" s="10" t="str">
        <v>Nancy Collins</v>
      </c>
      <c r="X82" s="10" t="str">
        <v>P004</v>
      </c>
      <c r="Y82" s="10" t="str">
        <v>Coffee Maker</v>
      </c>
      <c r="Z82" s="10" t="str">
        <v>Appliances</v>
      </c>
      <c r="AA82" s="10">
        <v>3</v>
      </c>
      <c r="AB82" s="10">
        <v>79.989999999999995</v>
      </c>
      <c r="AC82" s="10" t="str">
        <v>Cash</v>
      </c>
      <c r="AD82" s="10" t="str">
        <v>East</v>
      </c>
      <c r="AE82" s="10" t="str">
        <v>Premium</v>
      </c>
      <c r="AF82" s="37">
        <v>44436</v>
      </c>
      <c r="AG82" s="10">
        <v>239.97</v>
      </c>
    </row>
    <row r="83" spans="2:33">
      <c r="B83" s="10" t="str">
        <v>CUST029</v>
      </c>
      <c r="C83" s="10" t="str">
        <v>Edward Mitchell</v>
      </c>
      <c r="D83" s="10" t="str">
        <v>P001</v>
      </c>
      <c r="E83" s="10" t="str">
        <v>Laptop</v>
      </c>
      <c r="F83" s="10" t="str">
        <v>Electronics</v>
      </c>
      <c r="G83" s="10">
        <v>5</v>
      </c>
      <c r="H83" s="10">
        <v>4499.95</v>
      </c>
      <c r="T83" s="10" t="str">
        <v>TRX0200</v>
      </c>
      <c r="U83" s="37">
        <v>45711</v>
      </c>
      <c r="V83" s="10" t="str">
        <v>CUST037</v>
      </c>
      <c r="W83" s="10" t="str">
        <v>Arthur Edwards</v>
      </c>
      <c r="X83" s="10" t="str">
        <v>P008</v>
      </c>
      <c r="Y83" s="10" t="str">
        <v>Bookshelf</v>
      </c>
      <c r="Z83" s="10" t="str">
        <v>Furniture</v>
      </c>
      <c r="AA83" s="10">
        <v>4</v>
      </c>
      <c r="AB83" s="10">
        <v>149.99</v>
      </c>
      <c r="AC83" s="10" t="str">
        <v>PayPal</v>
      </c>
      <c r="AD83" s="10" t="str">
        <v>North</v>
      </c>
      <c r="AE83" s="10" t="str">
        <v>Premium</v>
      </c>
      <c r="AF83" s="37">
        <v>44412</v>
      </c>
      <c r="AG83" s="10">
        <v>599.96</v>
      </c>
    </row>
    <row r="84" spans="2:33">
      <c r="B84" s="10" t="str">
        <v>CUST029</v>
      </c>
      <c r="C84" s="10" t="str">
        <v>Edward Mitchell</v>
      </c>
      <c r="D84" s="10" t="str">
        <v>P010</v>
      </c>
      <c r="E84" s="10" t="str">
        <v>Keyboard</v>
      </c>
      <c r="F84" s="10" t="str">
        <v>Electronics</v>
      </c>
      <c r="G84" s="10">
        <v>2</v>
      </c>
      <c r="H84" s="10">
        <v>179.98</v>
      </c>
      <c r="T84" s="10" t="str">
        <v>TRX0238</v>
      </c>
      <c r="U84" s="37">
        <v>45668</v>
      </c>
      <c r="V84" s="10" t="str">
        <v>CUST038</v>
      </c>
      <c r="W84" s="10" t="str">
        <v>Michelle Rogers</v>
      </c>
      <c r="X84" s="10" t="str">
        <v>P002</v>
      </c>
      <c r="Y84" s="10" t="str">
        <v>Smartphone</v>
      </c>
      <c r="Z84" s="10" t="str">
        <v>Electronics</v>
      </c>
      <c r="AA84" s="10">
        <v>3</v>
      </c>
      <c r="AB84" s="10">
        <v>699.99</v>
      </c>
      <c r="AC84" s="10" t="str">
        <v>Cash</v>
      </c>
      <c r="AD84" s="10" t="str">
        <v>North</v>
      </c>
      <c r="AE84" s="10" t="str">
        <v>Premium</v>
      </c>
      <c r="AF84" s="37">
        <v>44602</v>
      </c>
      <c r="AG84" s="10">
        <v>2099.9699999999998</v>
      </c>
    </row>
    <row r="85" spans="2:33">
      <c r="B85" s="10" t="str">
        <v>CUST029</v>
      </c>
      <c r="C85" s="10" t="str">
        <v>Edward Mitchell</v>
      </c>
      <c r="D85" s="10" t="str">
        <v>P002</v>
      </c>
      <c r="E85" s="10" t="str">
        <v>Smartphone</v>
      </c>
      <c r="F85" s="10" t="str">
        <v>Electronics</v>
      </c>
      <c r="G85" s="10">
        <v>5</v>
      </c>
      <c r="H85" s="10">
        <v>3499.95</v>
      </c>
      <c r="T85" s="10" t="str">
        <v>TRX0001</v>
      </c>
      <c r="U85" s="37">
        <v>45528</v>
      </c>
      <c r="V85" s="10" t="str">
        <v>CUST039</v>
      </c>
      <c r="W85" s="10" t="str">
        <v>Lawrence Reed</v>
      </c>
      <c r="X85" s="10" t="str">
        <v>P004</v>
      </c>
      <c r="Y85" s="10" t="str">
        <v>Coffee Maker</v>
      </c>
      <c r="Z85" s="10" t="str">
        <v>Appliances</v>
      </c>
      <c r="AA85" s="10">
        <v>3</v>
      </c>
      <c r="AB85" s="10">
        <v>79.989999999999995</v>
      </c>
      <c r="AC85" s="10" t="str">
        <v>Cash</v>
      </c>
      <c r="AD85" s="10" t="str">
        <v>Central</v>
      </c>
      <c r="AE85" s="10" t="str">
        <v>Premium</v>
      </c>
      <c r="AF85" s="37">
        <v>44779</v>
      </c>
      <c r="AG85" s="10">
        <v>239.97</v>
      </c>
    </row>
    <row r="86" spans="2:33">
      <c r="B86" s="10" t="str">
        <v>CUST029</v>
      </c>
      <c r="C86" s="10" t="str">
        <v>Edward Mitchell</v>
      </c>
      <c r="D86" s="10" t="str">
        <v>P001</v>
      </c>
      <c r="E86" s="10" t="str">
        <v>Laptop</v>
      </c>
      <c r="F86" s="10" t="str">
        <v>Electronics</v>
      </c>
      <c r="G86" s="10">
        <v>3</v>
      </c>
      <c r="H86" s="10">
        <v>2699.97</v>
      </c>
      <c r="T86" s="10" t="str">
        <v>TRX0225</v>
      </c>
      <c r="U86" s="37">
        <v>45538</v>
      </c>
      <c r="V86" s="10" t="str">
        <v>CUST039</v>
      </c>
      <c r="W86" s="10" t="str">
        <v>Lawrence Reed</v>
      </c>
      <c r="X86" s="10" t="str">
        <v>P002</v>
      </c>
      <c r="Y86" s="10" t="str">
        <v>Smartphone</v>
      </c>
      <c r="Z86" s="10" t="str">
        <v>Electronics</v>
      </c>
      <c r="AA86" s="10">
        <v>2</v>
      </c>
      <c r="AB86" s="10">
        <v>699.99</v>
      </c>
      <c r="AC86" s="10" t="str">
        <v>Debit Card</v>
      </c>
      <c r="AD86" s="10" t="str">
        <v>Central</v>
      </c>
      <c r="AE86" s="10" t="str">
        <v>Premium</v>
      </c>
      <c r="AF86" s="37">
        <v>44870</v>
      </c>
      <c r="AG86" s="10">
        <v>1399.98</v>
      </c>
    </row>
    <row r="87" spans="2:33">
      <c r="B87" s="10" t="str">
        <v>CUST030</v>
      </c>
      <c r="C87" s="10" t="str">
        <v>Helen Roberts</v>
      </c>
      <c r="D87" s="10" t="str">
        <v>P001</v>
      </c>
      <c r="E87" s="10" t="str">
        <v>Laptop</v>
      </c>
      <c r="F87" s="10" t="str">
        <v>Electronics</v>
      </c>
      <c r="G87" s="10">
        <v>4</v>
      </c>
      <c r="H87" s="10">
        <v>3599.96</v>
      </c>
      <c r="T87" s="10" t="str">
        <v>TRX0226</v>
      </c>
      <c r="U87" s="37">
        <v>45720</v>
      </c>
      <c r="V87" s="10" t="str">
        <v>CUST039</v>
      </c>
      <c r="W87" s="10" t="str">
        <v>Lawrence Reed</v>
      </c>
      <c r="X87" s="10" t="str">
        <v>P002</v>
      </c>
      <c r="Y87" s="10" t="str">
        <v>Smartphone</v>
      </c>
      <c r="Z87" s="10" t="str">
        <v>Electronics</v>
      </c>
      <c r="AA87" s="10">
        <v>5</v>
      </c>
      <c r="AB87" s="10">
        <v>699.99</v>
      </c>
      <c r="AC87" s="10" t="str">
        <v>Debit Card</v>
      </c>
      <c r="AD87" s="10" t="str">
        <v>East</v>
      </c>
      <c r="AE87" s="10" t="str">
        <v>Premium</v>
      </c>
      <c r="AF87" s="37">
        <v>45161</v>
      </c>
      <c r="AG87" s="10">
        <v>3499.95</v>
      </c>
    </row>
    <row r="88" spans="2:33">
      <c r="B88" s="10" t="str">
        <v>CUST030</v>
      </c>
      <c r="C88" s="10" t="str">
        <v>Helen Roberts</v>
      </c>
      <c r="D88" s="10" t="str">
        <v>P003</v>
      </c>
      <c r="E88" s="10" t="str">
        <v>Headphones</v>
      </c>
      <c r="F88" s="10" t="str">
        <v>Electronics</v>
      </c>
      <c r="G88" s="10">
        <v>2</v>
      </c>
      <c r="H88" s="10">
        <v>299.98</v>
      </c>
      <c r="T88" s="10" t="str">
        <v>TRX0186</v>
      </c>
      <c r="U88" s="37">
        <v>45724</v>
      </c>
      <c r="V88" s="10" t="str">
        <v>CUST039</v>
      </c>
      <c r="W88" s="10" t="str">
        <v>Lawrence Reed</v>
      </c>
      <c r="X88" s="10" t="str">
        <v>P008</v>
      </c>
      <c r="Y88" s="10" t="str">
        <v>Bookshelf</v>
      </c>
      <c r="Z88" s="10" t="str">
        <v>Furniture</v>
      </c>
      <c r="AA88" s="10">
        <v>2</v>
      </c>
      <c r="AB88" s="10">
        <v>149.99</v>
      </c>
      <c r="AC88" s="10" t="str">
        <v>PayPal</v>
      </c>
      <c r="AD88" s="10" t="str">
        <v>Central</v>
      </c>
      <c r="AE88" s="10" t="str">
        <v>Premium</v>
      </c>
      <c r="AF88" s="37">
        <v>44632</v>
      </c>
      <c r="AG88" s="10">
        <v>299.98</v>
      </c>
    </row>
    <row r="89" spans="2:33">
      <c r="B89" s="10" t="str">
        <v>CUST030</v>
      </c>
      <c r="C89" s="10" t="str">
        <v>Helen Roberts</v>
      </c>
      <c r="D89" s="10" t="str">
        <v>P009</v>
      </c>
      <c r="E89" s="10" t="str">
        <v>Monitor</v>
      </c>
      <c r="F89" s="10" t="str">
        <v>Electronics</v>
      </c>
      <c r="G89" s="10">
        <v>5</v>
      </c>
      <c r="H89" s="10">
        <v>1249.95</v>
      </c>
      <c r="T89" s="10" t="str">
        <v>TRX0124</v>
      </c>
      <c r="U89" s="37">
        <v>45737</v>
      </c>
      <c r="V89" s="10" t="str">
        <v>CUST040</v>
      </c>
      <c r="W89" s="10" t="str">
        <v>Sharon Butler</v>
      </c>
      <c r="X89" s="10" t="str">
        <v>P001</v>
      </c>
      <c r="Y89" s="10" t="str">
        <v>Laptop</v>
      </c>
      <c r="Z89" s="10" t="str">
        <v>Electronics</v>
      </c>
      <c r="AA89" s="10">
        <v>3</v>
      </c>
      <c r="AB89" s="10">
        <v>899.99</v>
      </c>
      <c r="AC89" s="10" t="str">
        <v>Debit Card</v>
      </c>
      <c r="AD89" s="10" t="str">
        <v>North</v>
      </c>
      <c r="AE89" s="10" t="str">
        <v>Premium</v>
      </c>
      <c r="AF89" s="37">
        <v>44876</v>
      </c>
      <c r="AG89" s="10">
        <v>2699.97</v>
      </c>
    </row>
    <row r="90" spans="2:33">
      <c r="B90" s="10" t="str">
        <v>CUST031</v>
      </c>
      <c r="C90" s="10" t="str">
        <v>Steven Turner</v>
      </c>
      <c r="D90" s="10" t="str">
        <v>P003</v>
      </c>
      <c r="E90" s="10" t="str">
        <v>Headphones</v>
      </c>
      <c r="F90" s="10" t="str">
        <v>Electronics</v>
      </c>
      <c r="G90" s="10">
        <v>4</v>
      </c>
      <c r="H90" s="10">
        <v>599.96</v>
      </c>
      <c r="T90" s="10" t="str">
        <v>TRX0246</v>
      </c>
      <c r="U90" s="37">
        <v>45408</v>
      </c>
      <c r="V90" s="10" t="str">
        <v>CUST041</v>
      </c>
      <c r="W90" s="10" t="str">
        <v>Peter Richardson</v>
      </c>
      <c r="X90" s="10" t="str">
        <v>P008</v>
      </c>
      <c r="Y90" s="10" t="str">
        <v>Bookshelf</v>
      </c>
      <c r="Z90" s="10" t="str">
        <v>Furniture</v>
      </c>
      <c r="AA90" s="10">
        <v>3</v>
      </c>
      <c r="AB90" s="10">
        <v>149.99</v>
      </c>
      <c r="AC90" s="10" t="str">
        <v>Cash</v>
      </c>
      <c r="AD90" s="10" t="str">
        <v>North</v>
      </c>
      <c r="AE90" s="10" t="str">
        <v>Premium</v>
      </c>
      <c r="AF90" s="37">
        <v>44806</v>
      </c>
      <c r="AG90" s="10">
        <v>449.97</v>
      </c>
    </row>
    <row r="91" spans="2:33">
      <c r="B91" s="10" t="str">
        <v>CUST031</v>
      </c>
      <c r="C91" s="10" t="str">
        <v>Steven Turner</v>
      </c>
      <c r="D91" s="10" t="str">
        <v>P010</v>
      </c>
      <c r="E91" s="10" t="str">
        <v>Keyboard</v>
      </c>
      <c r="F91" s="10" t="str">
        <v>Electronics</v>
      </c>
      <c r="G91" s="10">
        <v>3</v>
      </c>
      <c r="H91" s="10">
        <v>269.97000000000003</v>
      </c>
      <c r="T91" s="10" t="str">
        <v>TRX0216</v>
      </c>
      <c r="U91" s="37">
        <v>45490</v>
      </c>
      <c r="V91" s="10" t="str">
        <v>CUST041</v>
      </c>
      <c r="W91" s="10" t="str">
        <v>Peter Richardson</v>
      </c>
      <c r="X91" s="10" t="str">
        <v>P008</v>
      </c>
      <c r="Y91" s="10" t="str">
        <v>Bookshelf</v>
      </c>
      <c r="Z91" s="10" t="str">
        <v>Furniture</v>
      </c>
      <c r="AA91" s="10">
        <v>3</v>
      </c>
      <c r="AB91" s="10">
        <v>149.99</v>
      </c>
      <c r="AC91" s="10" t="str">
        <v>Cash</v>
      </c>
      <c r="AD91" s="10" t="str">
        <v>Central</v>
      </c>
      <c r="AE91" s="10" t="str">
        <v>Premium</v>
      </c>
      <c r="AF91" s="37">
        <v>45199</v>
      </c>
      <c r="AG91" s="10">
        <v>449.97</v>
      </c>
    </row>
    <row r="92" spans="2:33">
      <c r="B92" s="10" t="str">
        <v>CUST032</v>
      </c>
      <c r="C92" s="10" t="str">
        <v>Sandra Phillips</v>
      </c>
      <c r="D92" s="10" t="str">
        <v>P002</v>
      </c>
      <c r="E92" s="10" t="str">
        <v>Smartphone</v>
      </c>
      <c r="F92" s="10" t="str">
        <v>Electronics</v>
      </c>
      <c r="G92" s="10">
        <v>2</v>
      </c>
      <c r="H92" s="10">
        <v>1399.98</v>
      </c>
      <c r="T92" s="10" t="str">
        <v>TRX0024</v>
      </c>
      <c r="U92" s="37">
        <v>45695</v>
      </c>
      <c r="V92" s="10" t="str">
        <v>CUST042</v>
      </c>
      <c r="W92" s="10" t="str">
        <v>Ruth Brooks</v>
      </c>
      <c r="X92" s="10" t="str">
        <v>P008</v>
      </c>
      <c r="Y92" s="10" t="str">
        <v>Bookshelf</v>
      </c>
      <c r="Z92" s="10" t="str">
        <v>Furniture</v>
      </c>
      <c r="AA92" s="10">
        <v>3</v>
      </c>
      <c r="AB92" s="10">
        <v>149.99</v>
      </c>
      <c r="AC92" s="10" t="str">
        <v>Debit Card</v>
      </c>
      <c r="AD92" s="10" t="str">
        <v>North</v>
      </c>
      <c r="AE92" s="10" t="str">
        <v>Premium</v>
      </c>
      <c r="AF92" s="37">
        <v>44564</v>
      </c>
      <c r="AG92" s="10">
        <v>449.97</v>
      </c>
    </row>
    <row r="93" spans="2:33">
      <c r="B93" s="10" t="str">
        <v>CUST032</v>
      </c>
      <c r="C93" s="10" t="str">
        <v>Sandra Phillips</v>
      </c>
      <c r="D93" s="10" t="str">
        <v>P001</v>
      </c>
      <c r="E93" s="10" t="str">
        <v>Laptop</v>
      </c>
      <c r="F93" s="10" t="str">
        <v>Electronics</v>
      </c>
      <c r="G93" s="10">
        <v>3</v>
      </c>
      <c r="H93" s="10">
        <v>2699.97</v>
      </c>
      <c r="T93" s="10" t="str">
        <v>TRX0047</v>
      </c>
      <c r="U93" s="37">
        <v>45711</v>
      </c>
      <c r="V93" s="10" t="str">
        <v>CUST042</v>
      </c>
      <c r="W93" s="10" t="str">
        <v>Ruth Brooks</v>
      </c>
      <c r="X93" s="10" t="str">
        <v>P002</v>
      </c>
      <c r="Y93" s="10" t="str">
        <v>Smartphone</v>
      </c>
      <c r="Z93" s="10" t="str">
        <v>Electronics</v>
      </c>
      <c r="AA93" s="10">
        <v>1</v>
      </c>
      <c r="AB93" s="10">
        <v>699.99</v>
      </c>
      <c r="AC93" s="10" t="str">
        <v>Cash</v>
      </c>
      <c r="AD93" s="10" t="str">
        <v>North</v>
      </c>
      <c r="AE93" s="10" t="str">
        <v>Premium</v>
      </c>
      <c r="AF93" s="37">
        <v>44583</v>
      </c>
      <c r="AG93" s="10">
        <v>699.99</v>
      </c>
    </row>
    <row r="94" spans="2:33">
      <c r="B94" s="10" t="str">
        <v>CUST032</v>
      </c>
      <c r="C94" s="10" t="str">
        <v>Sandra Phillips</v>
      </c>
      <c r="D94" s="10" t="str">
        <v>P003</v>
      </c>
      <c r="E94" s="10" t="str">
        <v>Headphones</v>
      </c>
      <c r="F94" s="10" t="str">
        <v>Electronics</v>
      </c>
      <c r="G94" s="10">
        <v>4</v>
      </c>
      <c r="H94" s="10">
        <v>599.96</v>
      </c>
      <c r="T94" s="10" t="str">
        <v>TRX0053</v>
      </c>
      <c r="U94" s="37">
        <v>45721</v>
      </c>
      <c r="V94" s="10" t="str">
        <v>CUST043</v>
      </c>
      <c r="W94" s="10" t="str">
        <v>Dennis Gray</v>
      </c>
      <c r="X94" s="10" t="str">
        <v>P005</v>
      </c>
      <c r="Y94" s="10" t="str">
        <v>Blender</v>
      </c>
      <c r="Z94" s="10" t="str">
        <v>Appliances</v>
      </c>
      <c r="AA94" s="10">
        <v>5</v>
      </c>
      <c r="AB94" s="10">
        <v>59.99</v>
      </c>
      <c r="AC94" s="10" t="str">
        <v>Cash</v>
      </c>
      <c r="AD94" s="10" t="str">
        <v>West</v>
      </c>
      <c r="AE94" s="10" t="str">
        <v>Premium</v>
      </c>
      <c r="AF94" s="37">
        <v>45291</v>
      </c>
      <c r="AG94" s="10">
        <v>299.95</v>
      </c>
    </row>
    <row r="95" spans="2:33">
      <c r="B95" s="10" t="str">
        <v>CUST034</v>
      </c>
      <c r="C95" s="10" t="str">
        <v>Carol Evans</v>
      </c>
      <c r="D95" s="10" t="str">
        <v>P003</v>
      </c>
      <c r="E95" s="10" t="str">
        <v>Headphones</v>
      </c>
      <c r="F95" s="10" t="str">
        <v>Electronics</v>
      </c>
      <c r="G95" s="10">
        <v>3</v>
      </c>
      <c r="H95" s="10">
        <v>449.97</v>
      </c>
      <c r="T95" s="10" t="str">
        <v>TRX0188</v>
      </c>
      <c r="U95" s="37">
        <v>45686</v>
      </c>
      <c r="V95" s="10" t="str">
        <v>CUST045</v>
      </c>
      <c r="W95" s="10" t="str">
        <v>Douglas Watson</v>
      </c>
      <c r="X95" s="10" t="str">
        <v>P002</v>
      </c>
      <c r="Y95" s="10" t="str">
        <v>Smartphone</v>
      </c>
      <c r="Z95" s="10" t="str">
        <v>Electronics</v>
      </c>
      <c r="AA95" s="10">
        <v>2</v>
      </c>
      <c r="AB95" s="10">
        <v>699.99</v>
      </c>
      <c r="AC95" s="10" t="str">
        <v>Debit Card</v>
      </c>
      <c r="AD95" s="10" t="str">
        <v>Central</v>
      </c>
      <c r="AE95" s="10" t="str">
        <v>Premium</v>
      </c>
      <c r="AF95" s="37">
        <v>44681</v>
      </c>
      <c r="AG95" s="10">
        <v>1399.98</v>
      </c>
    </row>
    <row r="96" spans="2:33">
      <c r="B96" s="10" t="str">
        <v>CUST034</v>
      </c>
      <c r="C96" s="10" t="str">
        <v>Carol Evans</v>
      </c>
      <c r="D96" s="10" t="str">
        <v>P009</v>
      </c>
      <c r="E96" s="10" t="str">
        <v>Monitor</v>
      </c>
      <c r="F96" s="10" t="str">
        <v>Electronics</v>
      </c>
      <c r="G96" s="10">
        <v>1</v>
      </c>
      <c r="H96" s="10">
        <v>249.99</v>
      </c>
      <c r="T96" s="10" t="str">
        <v>TRX0043</v>
      </c>
      <c r="U96" s="37">
        <v>45400</v>
      </c>
      <c r="V96" s="10" t="str">
        <v>CUST046</v>
      </c>
      <c r="W96" s="10" t="str">
        <v>Kathleen Bennett</v>
      </c>
      <c r="X96" s="10" t="str">
        <v>P005</v>
      </c>
      <c r="Y96" s="10" t="str">
        <v>Blender</v>
      </c>
      <c r="Z96" s="10" t="str">
        <v>Appliances</v>
      </c>
      <c r="AA96" s="10">
        <v>3</v>
      </c>
      <c r="AB96" s="10">
        <v>59.99</v>
      </c>
      <c r="AC96" s="10" t="str">
        <v>Cash</v>
      </c>
      <c r="AD96" s="10" t="str">
        <v>North</v>
      </c>
      <c r="AE96" s="10" t="str">
        <v>Premium</v>
      </c>
      <c r="AF96" s="37">
        <v>45114</v>
      </c>
      <c r="AG96" s="10">
        <v>179.97</v>
      </c>
    </row>
    <row r="97" spans="2:33">
      <c r="B97" s="10" t="str">
        <v>CUST035</v>
      </c>
      <c r="C97" s="10" t="str">
        <v>Harry Morgan</v>
      </c>
      <c r="D97" s="10" t="str">
        <v>P010</v>
      </c>
      <c r="E97" s="10" t="str">
        <v>Keyboard</v>
      </c>
      <c r="F97" s="10" t="str">
        <v>Electronics</v>
      </c>
      <c r="G97" s="10">
        <v>3</v>
      </c>
      <c r="H97" s="10">
        <v>269.97000000000003</v>
      </c>
      <c r="T97" s="10" t="str">
        <v>TRX0184</v>
      </c>
      <c r="U97" s="37">
        <v>45471</v>
      </c>
      <c r="V97" s="10" t="str">
        <v>CUST046</v>
      </c>
      <c r="W97" s="10" t="str">
        <v>Kathleen Bennett</v>
      </c>
      <c r="X97" s="10" t="str">
        <v>P002</v>
      </c>
      <c r="Y97" s="10" t="str">
        <v>Smartphone</v>
      </c>
      <c r="Z97" s="10" t="str">
        <v>Electronics</v>
      </c>
      <c r="AA97" s="10">
        <v>3</v>
      </c>
      <c r="AB97" s="10">
        <v>699.99</v>
      </c>
      <c r="AC97" s="10" t="str">
        <v>Credit Card</v>
      </c>
      <c r="AD97" s="10" t="str">
        <v>East</v>
      </c>
      <c r="AE97" s="10" t="str">
        <v>Premium</v>
      </c>
      <c r="AF97" s="37">
        <v>45102</v>
      </c>
      <c r="AG97" s="10">
        <v>2099.9699999999998</v>
      </c>
    </row>
    <row r="98" spans="2:33">
      <c r="B98" s="10" t="str">
        <v>CUST035</v>
      </c>
      <c r="C98" s="10" t="str">
        <v>Harry Morgan</v>
      </c>
      <c r="D98" s="10" t="str">
        <v>P009</v>
      </c>
      <c r="E98" s="10" t="str">
        <v>Monitor</v>
      </c>
      <c r="F98" s="10" t="str">
        <v>Electronics</v>
      </c>
      <c r="G98" s="10">
        <v>2</v>
      </c>
      <c r="H98" s="10">
        <v>499.98</v>
      </c>
      <c r="T98" s="10" t="str">
        <v>TRX0211</v>
      </c>
      <c r="U98" s="37">
        <v>45548</v>
      </c>
      <c r="V98" s="10" t="str">
        <v>CUST046</v>
      </c>
      <c r="W98" s="10" t="str">
        <v>Kathleen Bennett</v>
      </c>
      <c r="X98" s="10" t="str">
        <v>P010</v>
      </c>
      <c r="Y98" s="10" t="str">
        <v>Keyboard</v>
      </c>
      <c r="Z98" s="10" t="str">
        <v>Electronics</v>
      </c>
      <c r="AA98" s="10">
        <v>2</v>
      </c>
      <c r="AB98" s="10">
        <v>89.99</v>
      </c>
      <c r="AC98" s="10" t="str">
        <v>Credit Card</v>
      </c>
      <c r="AD98" s="10" t="str">
        <v>South</v>
      </c>
      <c r="AE98" s="10" t="str">
        <v>Premium</v>
      </c>
      <c r="AF98" s="37">
        <v>44641</v>
      </c>
      <c r="AG98" s="10">
        <v>179.98</v>
      </c>
    </row>
    <row r="99" spans="2:33">
      <c r="B99" s="10" t="str">
        <v>CUST035</v>
      </c>
      <c r="C99" s="10" t="str">
        <v>Harry Morgan</v>
      </c>
      <c r="D99" s="10" t="str">
        <v>P001</v>
      </c>
      <c r="E99" s="10" t="str">
        <v>Laptop</v>
      </c>
      <c r="F99" s="10" t="str">
        <v>Electronics</v>
      </c>
      <c r="G99" s="10">
        <v>5</v>
      </c>
      <c r="H99" s="10">
        <v>4499.95</v>
      </c>
      <c r="T99" s="10" t="str">
        <v>TRX0058</v>
      </c>
      <c r="U99" s="37">
        <v>45532</v>
      </c>
      <c r="V99" s="10" t="str">
        <v>CUST047</v>
      </c>
      <c r="W99" s="10" t="str">
        <v>Gerald Murphy</v>
      </c>
      <c r="X99" s="10" t="str">
        <v>P002</v>
      </c>
      <c r="Y99" s="10" t="str">
        <v>Smartphone</v>
      </c>
      <c r="Z99" s="10" t="str">
        <v>Electronics</v>
      </c>
      <c r="AA99" s="10">
        <v>1</v>
      </c>
      <c r="AB99" s="10">
        <v>699.99</v>
      </c>
      <c r="AC99" s="10" t="str">
        <v>Cash</v>
      </c>
      <c r="AD99" s="10" t="str">
        <v>Central</v>
      </c>
      <c r="AE99" s="10" t="str">
        <v>Premium</v>
      </c>
      <c r="AF99" s="37">
        <v>44497</v>
      </c>
      <c r="AG99" s="10">
        <v>699.99</v>
      </c>
    </row>
    <row r="100" spans="2:33">
      <c r="B100" s="10" t="str">
        <v>CUST035</v>
      </c>
      <c r="C100" s="10" t="str">
        <v>Harry Morgan</v>
      </c>
      <c r="D100" s="10" t="str">
        <v>P009</v>
      </c>
      <c r="E100" s="10" t="str">
        <v>Monitor</v>
      </c>
      <c r="F100" s="10" t="str">
        <v>Electronics</v>
      </c>
      <c r="G100" s="10">
        <v>1</v>
      </c>
      <c r="H100" s="10">
        <v>249.99</v>
      </c>
      <c r="T100" s="10" t="str">
        <v>TRX0222</v>
      </c>
      <c r="U100" s="37">
        <v>45410</v>
      </c>
      <c r="V100" s="10" t="str">
        <v>CUST048</v>
      </c>
      <c r="W100" s="10" t="str">
        <v>Virginia Sanders</v>
      </c>
      <c r="X100" s="10" t="str">
        <v>P009</v>
      </c>
      <c r="Y100" s="10" t="str">
        <v>Monitor</v>
      </c>
      <c r="Z100" s="10" t="str">
        <v>Electronics</v>
      </c>
      <c r="AA100" s="10">
        <v>3</v>
      </c>
      <c r="AB100" s="10">
        <v>249.99</v>
      </c>
      <c r="AC100" s="10" t="str">
        <v>Credit Card</v>
      </c>
      <c r="AD100" s="10" t="str">
        <v>North</v>
      </c>
      <c r="AE100" s="10" t="str">
        <v>Premium</v>
      </c>
      <c r="AF100" s="37">
        <v>45224</v>
      </c>
      <c r="AG100" s="10">
        <v>749.97</v>
      </c>
    </row>
    <row r="101" spans="2:33">
      <c r="B101" s="10" t="str">
        <v>CUST036</v>
      </c>
      <c r="C101" s="10" t="str">
        <v>Nancy Collins</v>
      </c>
      <c r="D101" s="10" t="str">
        <v>P009</v>
      </c>
      <c r="E101" s="10" t="str">
        <v>Monitor</v>
      </c>
      <c r="F101" s="10" t="str">
        <v>Electronics</v>
      </c>
      <c r="G101" s="10">
        <v>5</v>
      </c>
      <c r="H101" s="10">
        <v>1249.95</v>
      </c>
    </row>
    <row r="102" spans="2:33">
      <c r="B102" s="10" t="str">
        <v>CUST036</v>
      </c>
      <c r="C102" s="10" t="str">
        <v>Nancy Collins</v>
      </c>
      <c r="D102" s="10" t="str">
        <v>P003</v>
      </c>
      <c r="E102" s="10" t="str">
        <v>Headphones</v>
      </c>
      <c r="F102" s="10" t="str">
        <v>Electronics</v>
      </c>
      <c r="G102" s="10">
        <v>3</v>
      </c>
      <c r="H102" s="10">
        <v>449.97</v>
      </c>
    </row>
    <row r="103" spans="2:33">
      <c r="B103" s="10" t="str">
        <v>CUST036</v>
      </c>
      <c r="C103" s="10" t="str">
        <v>Nancy Collins</v>
      </c>
      <c r="D103" s="10" t="str">
        <v>P009</v>
      </c>
      <c r="E103" s="10" t="str">
        <v>Monitor</v>
      </c>
      <c r="F103" s="10" t="str">
        <v>Electronics</v>
      </c>
      <c r="G103" s="10">
        <v>2</v>
      </c>
      <c r="H103" s="10">
        <v>499.98</v>
      </c>
    </row>
    <row r="104" spans="2:33">
      <c r="B104" s="10" t="str">
        <v>CUST037</v>
      </c>
      <c r="C104" s="10" t="str">
        <v>Arthur Edwards</v>
      </c>
      <c r="D104" s="10" t="str">
        <v>P001</v>
      </c>
      <c r="E104" s="10" t="str">
        <v>Laptop</v>
      </c>
      <c r="F104" s="10" t="str">
        <v>Electronics</v>
      </c>
      <c r="G104" s="10">
        <v>1</v>
      </c>
      <c r="H104" s="10">
        <v>899.99</v>
      </c>
    </row>
    <row r="105" spans="2:33">
      <c r="B105" s="10" t="str">
        <v>CUST038</v>
      </c>
      <c r="C105" s="10" t="str">
        <v>Michelle Rogers</v>
      </c>
      <c r="D105" s="10" t="str">
        <v>P002</v>
      </c>
      <c r="E105" s="10" t="str">
        <v>Smartphone</v>
      </c>
      <c r="F105" s="10" t="str">
        <v>Electronics</v>
      </c>
      <c r="G105" s="10">
        <v>3</v>
      </c>
      <c r="H105" s="10">
        <v>2099.9699999999998</v>
      </c>
    </row>
    <row r="106" spans="2:33">
      <c r="B106" s="10" t="str">
        <v>CUST038</v>
      </c>
      <c r="C106" s="10" t="str">
        <v>Michelle Rogers</v>
      </c>
      <c r="D106" s="10" t="str">
        <v>P002</v>
      </c>
      <c r="E106" s="10" t="str">
        <v>Smartphone</v>
      </c>
      <c r="F106" s="10" t="str">
        <v>Electronics</v>
      </c>
      <c r="G106" s="10">
        <v>3</v>
      </c>
      <c r="H106" s="10">
        <v>2099.9699999999998</v>
      </c>
    </row>
    <row r="107" spans="2:33">
      <c r="B107" s="10" t="str">
        <v>CUST039</v>
      </c>
      <c r="C107" s="10" t="str">
        <v>Lawrence Reed</v>
      </c>
      <c r="D107" s="10" t="str">
        <v>P002</v>
      </c>
      <c r="E107" s="10" t="str">
        <v>Smartphone</v>
      </c>
      <c r="F107" s="10" t="str">
        <v>Electronics</v>
      </c>
      <c r="G107" s="10">
        <v>2</v>
      </c>
      <c r="H107" s="10">
        <v>1399.98</v>
      </c>
    </row>
    <row r="108" spans="2:33">
      <c r="B108" s="10" t="str">
        <v>CUST039</v>
      </c>
      <c r="C108" s="10" t="str">
        <v>Lawrence Reed</v>
      </c>
      <c r="D108" s="10" t="str">
        <v>P003</v>
      </c>
      <c r="E108" s="10" t="str">
        <v>Headphones</v>
      </c>
      <c r="F108" s="10" t="str">
        <v>Electronics</v>
      </c>
      <c r="G108" s="10">
        <v>2</v>
      </c>
      <c r="H108" s="10">
        <v>299.98</v>
      </c>
    </row>
    <row r="109" spans="2:33">
      <c r="B109" s="10" t="str">
        <v>CUST039</v>
      </c>
      <c r="C109" s="10" t="str">
        <v>Lawrence Reed</v>
      </c>
      <c r="D109" s="10" t="str">
        <v>P010</v>
      </c>
      <c r="E109" s="10" t="str">
        <v>Keyboard</v>
      </c>
      <c r="F109" s="10" t="str">
        <v>Electronics</v>
      </c>
      <c r="G109" s="10">
        <v>3</v>
      </c>
      <c r="H109" s="10">
        <v>269.97000000000003</v>
      </c>
    </row>
    <row r="110" spans="2:33">
      <c r="B110" s="10" t="str">
        <v>CUST039</v>
      </c>
      <c r="C110" s="10" t="str">
        <v>Lawrence Reed</v>
      </c>
      <c r="D110" s="10" t="str">
        <v>P002</v>
      </c>
      <c r="E110" s="10" t="str">
        <v>Smartphone</v>
      </c>
      <c r="F110" s="10" t="str">
        <v>Electronics</v>
      </c>
      <c r="G110" s="10">
        <v>5</v>
      </c>
      <c r="H110" s="10">
        <v>3499.95</v>
      </c>
    </row>
    <row r="111" spans="2:33">
      <c r="B111" s="10" t="str">
        <v>CUST039</v>
      </c>
      <c r="C111" s="10" t="str">
        <v>Lawrence Reed</v>
      </c>
      <c r="D111" s="10" t="str">
        <v>P010</v>
      </c>
      <c r="E111" s="10" t="str">
        <v>Keyboard</v>
      </c>
      <c r="F111" s="10" t="str">
        <v>Electronics</v>
      </c>
      <c r="G111" s="10">
        <v>2</v>
      </c>
      <c r="H111" s="10">
        <v>179.98</v>
      </c>
    </row>
    <row r="112" spans="2:33">
      <c r="B112" s="10" t="str">
        <v>CUST040</v>
      </c>
      <c r="C112" s="10" t="str">
        <v>Sharon Butler</v>
      </c>
      <c r="D112" s="10" t="str">
        <v>P001</v>
      </c>
      <c r="E112" s="10" t="str">
        <v>Laptop</v>
      </c>
      <c r="F112" s="10" t="str">
        <v>Electronics</v>
      </c>
      <c r="G112" s="10">
        <v>1</v>
      </c>
      <c r="H112" s="10">
        <v>899.99</v>
      </c>
    </row>
    <row r="113" spans="2:8">
      <c r="B113" s="10" t="str">
        <v>CUST040</v>
      </c>
      <c r="C113" s="10" t="str">
        <v>Sharon Butler</v>
      </c>
      <c r="D113" s="10" t="str">
        <v>P001</v>
      </c>
      <c r="E113" s="10" t="str">
        <v>Laptop</v>
      </c>
      <c r="F113" s="10" t="str">
        <v>Electronics</v>
      </c>
      <c r="G113" s="10">
        <v>1</v>
      </c>
      <c r="H113" s="10">
        <v>899.99</v>
      </c>
    </row>
    <row r="114" spans="2:8">
      <c r="B114" s="10" t="str">
        <v>CUST040</v>
      </c>
      <c r="C114" s="10" t="str">
        <v>Sharon Butler</v>
      </c>
      <c r="D114" s="10" t="str">
        <v>P002</v>
      </c>
      <c r="E114" s="10" t="str">
        <v>Smartphone</v>
      </c>
      <c r="F114" s="10" t="str">
        <v>Electronics</v>
      </c>
      <c r="G114" s="10">
        <v>1</v>
      </c>
      <c r="H114" s="10">
        <v>699.99</v>
      </c>
    </row>
    <row r="115" spans="2:8">
      <c r="B115" s="10" t="str">
        <v>CUST040</v>
      </c>
      <c r="C115" s="10" t="str">
        <v>Sharon Butler</v>
      </c>
      <c r="D115" s="10" t="str">
        <v>P001</v>
      </c>
      <c r="E115" s="10" t="str">
        <v>Laptop</v>
      </c>
      <c r="F115" s="10" t="str">
        <v>Electronics</v>
      </c>
      <c r="G115" s="10">
        <v>3</v>
      </c>
      <c r="H115" s="10">
        <v>2699.97</v>
      </c>
    </row>
    <row r="116" spans="2:8">
      <c r="B116" s="10" t="str">
        <v>CUST041</v>
      </c>
      <c r="C116" s="10" t="str">
        <v>Peter Richardson</v>
      </c>
      <c r="D116" s="10" t="str">
        <v>P002</v>
      </c>
      <c r="E116" s="10" t="str">
        <v>Smartphone</v>
      </c>
      <c r="F116" s="10" t="str">
        <v>Electronics</v>
      </c>
      <c r="G116" s="10">
        <v>4</v>
      </c>
      <c r="H116" s="10">
        <v>2799.96</v>
      </c>
    </row>
    <row r="117" spans="2:8">
      <c r="B117" s="10" t="str">
        <v>CUST041</v>
      </c>
      <c r="C117" s="10" t="str">
        <v>Peter Richardson</v>
      </c>
      <c r="D117" s="10" t="str">
        <v>P003</v>
      </c>
      <c r="E117" s="10" t="str">
        <v>Headphones</v>
      </c>
      <c r="F117" s="10" t="str">
        <v>Electronics</v>
      </c>
      <c r="G117" s="10">
        <v>3</v>
      </c>
      <c r="H117" s="10">
        <v>449.97</v>
      </c>
    </row>
    <row r="118" spans="2:8">
      <c r="B118" s="10" t="str">
        <v>CUST041</v>
      </c>
      <c r="C118" s="10" t="str">
        <v>Peter Richardson</v>
      </c>
      <c r="D118" s="10" t="str">
        <v>P001</v>
      </c>
      <c r="E118" s="10" t="str">
        <v>Laptop</v>
      </c>
      <c r="F118" s="10" t="str">
        <v>Electronics</v>
      </c>
      <c r="G118" s="10">
        <v>2</v>
      </c>
      <c r="H118" s="10">
        <v>1799.98</v>
      </c>
    </row>
    <row r="119" spans="2:8">
      <c r="B119" s="10" t="str">
        <v>CUST042</v>
      </c>
      <c r="C119" s="10" t="str">
        <v>Ruth Brooks</v>
      </c>
      <c r="D119" s="10" t="str">
        <v>P003</v>
      </c>
      <c r="E119" s="10" t="str">
        <v>Headphones</v>
      </c>
      <c r="F119" s="10" t="str">
        <v>Electronics</v>
      </c>
      <c r="G119" s="10">
        <v>4</v>
      </c>
      <c r="H119" s="10">
        <v>599.96</v>
      </c>
    </row>
    <row r="120" spans="2:8">
      <c r="B120" s="10" t="str">
        <v>CUST042</v>
      </c>
      <c r="C120" s="10" t="str">
        <v>Ruth Brooks</v>
      </c>
      <c r="D120" s="10" t="str">
        <v>P002</v>
      </c>
      <c r="E120" s="10" t="str">
        <v>Smartphone</v>
      </c>
      <c r="F120" s="10" t="str">
        <v>Electronics</v>
      </c>
      <c r="G120" s="10">
        <v>1</v>
      </c>
      <c r="H120" s="10">
        <v>699.99</v>
      </c>
    </row>
    <row r="121" spans="2:8">
      <c r="B121" s="10" t="str">
        <v>CUST044</v>
      </c>
      <c r="C121" s="10" t="str">
        <v>Cynthia Price</v>
      </c>
      <c r="D121" s="10" t="str">
        <v>P009</v>
      </c>
      <c r="E121" s="10" t="str">
        <v>Monitor</v>
      </c>
      <c r="F121" s="10" t="str">
        <v>Electronics</v>
      </c>
      <c r="G121" s="10">
        <v>4</v>
      </c>
      <c r="H121" s="10">
        <v>999.96</v>
      </c>
    </row>
    <row r="122" spans="2:8">
      <c r="B122" s="10" t="str">
        <v>CUST044</v>
      </c>
      <c r="C122" s="10" t="str">
        <v>Cynthia Price</v>
      </c>
      <c r="D122" s="10" t="str">
        <v>P002</v>
      </c>
      <c r="E122" s="10" t="str">
        <v>Smartphone</v>
      </c>
      <c r="F122" s="10" t="str">
        <v>Electronics</v>
      </c>
      <c r="G122" s="10">
        <v>2</v>
      </c>
      <c r="H122" s="10">
        <v>1399.98</v>
      </c>
    </row>
    <row r="123" spans="2:8">
      <c r="B123" s="10" t="str">
        <v>CUST045</v>
      </c>
      <c r="C123" s="10" t="str">
        <v>Douglas Watson</v>
      </c>
      <c r="D123" s="10" t="str">
        <v>P009</v>
      </c>
      <c r="E123" s="10" t="str">
        <v>Monitor</v>
      </c>
      <c r="F123" s="10" t="str">
        <v>Electronics</v>
      </c>
      <c r="G123" s="10">
        <v>5</v>
      </c>
      <c r="H123" s="10">
        <v>1249.95</v>
      </c>
    </row>
    <row r="124" spans="2:8">
      <c r="B124" s="10" t="str">
        <v>CUST045</v>
      </c>
      <c r="C124" s="10" t="str">
        <v>Douglas Watson</v>
      </c>
      <c r="D124" s="10" t="str">
        <v>P002</v>
      </c>
      <c r="E124" s="10" t="str">
        <v>Smartphone</v>
      </c>
      <c r="F124" s="10" t="str">
        <v>Electronics</v>
      </c>
      <c r="G124" s="10">
        <v>2</v>
      </c>
      <c r="H124" s="10">
        <v>1399.98</v>
      </c>
    </row>
    <row r="125" spans="2:8">
      <c r="B125" s="10" t="str">
        <v>CUST045</v>
      </c>
      <c r="C125" s="10" t="str">
        <v>Douglas Watson</v>
      </c>
      <c r="D125" s="10" t="str">
        <v>P002</v>
      </c>
      <c r="E125" s="10" t="str">
        <v>Smartphone</v>
      </c>
      <c r="F125" s="10" t="str">
        <v>Electronics</v>
      </c>
      <c r="G125" s="10">
        <v>3</v>
      </c>
      <c r="H125" s="10">
        <v>2099.9699999999998</v>
      </c>
    </row>
    <row r="126" spans="2:8">
      <c r="B126" s="10" t="str">
        <v>CUST046</v>
      </c>
      <c r="C126" s="10" t="str">
        <v>Kathleen Bennett</v>
      </c>
      <c r="D126" s="10" t="str">
        <v>P002</v>
      </c>
      <c r="E126" s="10" t="str">
        <v>Smartphone</v>
      </c>
      <c r="F126" s="10" t="str">
        <v>Electronics</v>
      </c>
      <c r="G126" s="10">
        <v>3</v>
      </c>
      <c r="H126" s="10">
        <v>2099.9699999999998</v>
      </c>
    </row>
    <row r="127" spans="2:8">
      <c r="B127" s="10" t="str">
        <v>CUST046</v>
      </c>
      <c r="C127" s="10" t="str">
        <v>Kathleen Bennett</v>
      </c>
      <c r="D127" s="10" t="str">
        <v>P010</v>
      </c>
      <c r="E127" s="10" t="str">
        <v>Keyboard</v>
      </c>
      <c r="F127" s="10" t="str">
        <v>Electronics</v>
      </c>
      <c r="G127" s="10">
        <v>2</v>
      </c>
      <c r="H127" s="10">
        <v>179.98</v>
      </c>
    </row>
    <row r="128" spans="2:8">
      <c r="B128" s="10" t="str">
        <v>CUST046</v>
      </c>
      <c r="C128" s="10" t="str">
        <v>Kathleen Bennett</v>
      </c>
      <c r="D128" s="10" t="str">
        <v>P003</v>
      </c>
      <c r="E128" s="10" t="str">
        <v>Headphones</v>
      </c>
      <c r="F128" s="10" t="str">
        <v>Electronics</v>
      </c>
      <c r="G128" s="10">
        <v>2</v>
      </c>
      <c r="H128" s="10">
        <v>299.98</v>
      </c>
    </row>
    <row r="129" spans="2:8">
      <c r="B129" s="10" t="str">
        <v>CUST047</v>
      </c>
      <c r="C129" s="10" t="str">
        <v>Gerald Murphy</v>
      </c>
      <c r="D129" s="10" t="str">
        <v>P009</v>
      </c>
      <c r="E129" s="10" t="str">
        <v>Monitor</v>
      </c>
      <c r="F129" s="10" t="str">
        <v>Electronics</v>
      </c>
      <c r="G129" s="10">
        <v>4</v>
      </c>
      <c r="H129" s="10">
        <v>999.96</v>
      </c>
    </row>
    <row r="130" spans="2:8">
      <c r="B130" s="10" t="str">
        <v>CUST047</v>
      </c>
      <c r="C130" s="10" t="str">
        <v>Gerald Murphy</v>
      </c>
      <c r="D130" s="10" t="str">
        <v>P001</v>
      </c>
      <c r="E130" s="10" t="str">
        <v>Laptop</v>
      </c>
      <c r="F130" s="10" t="str">
        <v>Electronics</v>
      </c>
      <c r="G130" s="10">
        <v>5</v>
      </c>
      <c r="H130" s="10">
        <v>4499.95</v>
      </c>
    </row>
    <row r="131" spans="2:8">
      <c r="B131" s="10" t="str">
        <v>CUST047</v>
      </c>
      <c r="C131" s="10" t="str">
        <v>Gerald Murphy</v>
      </c>
      <c r="D131" s="10" t="str">
        <v>P002</v>
      </c>
      <c r="E131" s="10" t="str">
        <v>Smartphone</v>
      </c>
      <c r="F131" s="10" t="str">
        <v>Electronics</v>
      </c>
      <c r="G131" s="10">
        <v>1</v>
      </c>
      <c r="H131" s="10">
        <v>699.99</v>
      </c>
    </row>
    <row r="132" spans="2:8">
      <c r="B132" s="10" t="str">
        <v>CUST048</v>
      </c>
      <c r="C132" s="10" t="str">
        <v>Virginia Sanders</v>
      </c>
      <c r="D132" s="10" t="str">
        <v>P009</v>
      </c>
      <c r="E132" s="10" t="str">
        <v>Monitor</v>
      </c>
      <c r="F132" s="10" t="str">
        <v>Electronics</v>
      </c>
      <c r="G132" s="10">
        <v>3</v>
      </c>
      <c r="H132" s="10">
        <v>749.97</v>
      </c>
    </row>
    <row r="133" spans="2:8">
      <c r="B133" s="10" t="str">
        <v>CUST048</v>
      </c>
      <c r="C133" s="10" t="str">
        <v>Virginia Sanders</v>
      </c>
      <c r="D133" s="10" t="str">
        <v>P009</v>
      </c>
      <c r="E133" s="10" t="str">
        <v>Monitor</v>
      </c>
      <c r="F133" s="10" t="str">
        <v>Electronics</v>
      </c>
      <c r="G133" s="10">
        <v>5</v>
      </c>
      <c r="H133" s="10">
        <v>1249.95</v>
      </c>
    </row>
    <row r="134" spans="2:8">
      <c r="B134" s="10" t="str">
        <v>CUST049</v>
      </c>
      <c r="C134" s="10" t="str">
        <v>Raymond Ross</v>
      </c>
      <c r="D134" s="10" t="str">
        <v>P010</v>
      </c>
      <c r="E134" s="10" t="str">
        <v>Keyboard</v>
      </c>
      <c r="F134" s="10" t="str">
        <v>Electronics</v>
      </c>
      <c r="G134" s="10">
        <v>4</v>
      </c>
      <c r="H134" s="10">
        <v>359.96</v>
      </c>
    </row>
    <row r="135" spans="2:8">
      <c r="B135" s="10" t="str">
        <v>CUST049</v>
      </c>
      <c r="C135" s="10" t="str">
        <v>Raymond Ross</v>
      </c>
      <c r="D135" s="10" t="str">
        <v>P002</v>
      </c>
      <c r="E135" s="10" t="str">
        <v>Smartphone</v>
      </c>
      <c r="F135" s="10" t="str">
        <v>Electronics</v>
      </c>
      <c r="G135" s="10">
        <v>4</v>
      </c>
      <c r="H135" s="10">
        <v>2799.96</v>
      </c>
    </row>
    <row r="136" spans="2:8">
      <c r="B136" s="10" t="str">
        <v>CUST049</v>
      </c>
      <c r="C136" s="10" t="str">
        <v>Raymond Ross</v>
      </c>
      <c r="D136" s="10" t="str">
        <v>P010</v>
      </c>
      <c r="E136" s="10" t="str">
        <v>Keyboard</v>
      </c>
      <c r="F136" s="10" t="str">
        <v>Electronics</v>
      </c>
      <c r="G136" s="10">
        <v>3</v>
      </c>
      <c r="H136" s="10">
        <v>269.97000000000003</v>
      </c>
    </row>
  </sheetData>
  <mergeCells count="4">
    <mergeCell ref="B4:H4"/>
    <mergeCell ref="K4:Q4"/>
    <mergeCell ref="T4:AG4"/>
    <mergeCell ref="A1:AG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2:G253"/>
  <sheetViews>
    <sheetView workbookViewId="0">
      <selection activeCell="B2" sqref="B2:E2"/>
    </sheetView>
  </sheetViews>
  <sheetFormatPr defaultRowHeight="14"/>
  <cols>
    <col min="2" max="2" width="17.25" bestFit="1" customWidth="1"/>
    <col min="3" max="3" width="19" bestFit="1" customWidth="1"/>
    <col min="4" max="4" width="11.9140625" style="34" bestFit="1" customWidth="1"/>
    <col min="5" max="5" width="10.08203125" bestFit="1" customWidth="1"/>
  </cols>
  <sheetData>
    <row r="2" spans="2:7">
      <c r="B2" s="88" t="s">
        <v>490</v>
      </c>
      <c r="C2" s="88"/>
      <c r="D2" s="88"/>
      <c r="E2" s="88"/>
    </row>
    <row r="3" spans="2:7">
      <c r="B3" s="40" t="s">
        <v>450</v>
      </c>
      <c r="C3" s="40" t="s">
        <v>451</v>
      </c>
      <c r="D3" s="41" t="s">
        <v>452</v>
      </c>
      <c r="E3" s="40" t="s">
        <v>453</v>
      </c>
      <c r="G3" s="39"/>
    </row>
    <row r="4" spans="2:7" hidden="1">
      <c r="B4" s="10" t="str" cm="1">
        <f t="array" ref="B4:B253">_xlfn.UNIQUE(Table1[Transaction_ID])</f>
        <v>TRX0050</v>
      </c>
      <c r="C4" s="10" t="str" cm="1">
        <f t="array" ref="C4:C253">_xlfn.XLOOKUP(_xlfn.ANCHORARRAY(B4), Table1[Transaction_ID], Table1[Customer_Name])</f>
        <v>John Smith</v>
      </c>
      <c r="D4" s="38" cm="1">
        <f t="array" ref="D4:D253">_xlfn.XLOOKUP(_xlfn.ANCHORARRAY(B4), Table1[Transaction_ID], Table1[Total_Amount])</f>
        <v>599.96</v>
      </c>
      <c r="E4" s="10" t="str">
        <f>IF(D4&gt;3000,"▲",IF(D4=1500,"►","▼"))</f>
        <v>▼</v>
      </c>
    </row>
    <row r="5" spans="2:7" hidden="1">
      <c r="B5" s="10" t="str">
        <v>TRX0130</v>
      </c>
      <c r="C5" s="10" t="str">
        <v>Emma Wilson</v>
      </c>
      <c r="D5" s="38">
        <v>449.97</v>
      </c>
      <c r="E5" s="10" t="str">
        <f t="shared" ref="E5:E68" si="0">IF(D5&gt;3000,"▲",IF(D5=1500,"►","▼"))</f>
        <v>▼</v>
      </c>
    </row>
    <row r="6" spans="2:7" hidden="1">
      <c r="B6" s="10" t="str">
        <v>TRX0096</v>
      </c>
      <c r="C6" s="10" t="str">
        <v>Emma Wilson</v>
      </c>
      <c r="D6" s="38">
        <v>179.98</v>
      </c>
      <c r="E6" s="10" t="str">
        <f t="shared" si="0"/>
        <v>▼</v>
      </c>
    </row>
    <row r="7" spans="2:7" hidden="1">
      <c r="B7" s="10" t="str">
        <v>TRX0142</v>
      </c>
      <c r="C7" s="10" t="str">
        <v>Emma Wilson</v>
      </c>
      <c r="D7" s="38">
        <v>179.97</v>
      </c>
      <c r="E7" s="10" t="str">
        <f t="shared" si="0"/>
        <v>▼</v>
      </c>
    </row>
    <row r="8" spans="2:7" hidden="1">
      <c r="B8" s="10" t="str">
        <v>TRX0028</v>
      </c>
      <c r="C8" s="10" t="str">
        <v>Emma Wilson</v>
      </c>
      <c r="D8" s="38">
        <v>119.98</v>
      </c>
      <c r="E8" s="10" t="str">
        <f t="shared" si="0"/>
        <v>▼</v>
      </c>
    </row>
    <row r="9" spans="2:7" hidden="1">
      <c r="B9" s="10" t="str">
        <v>TRX0003</v>
      </c>
      <c r="C9" s="10" t="str">
        <v>Emma Wilson</v>
      </c>
      <c r="D9" s="38">
        <v>299.98</v>
      </c>
      <c r="E9" s="10" t="str">
        <f t="shared" si="0"/>
        <v>▼</v>
      </c>
    </row>
    <row r="10" spans="2:7" hidden="1">
      <c r="B10" s="10" t="str">
        <v>TRX0212</v>
      </c>
      <c r="C10" s="10" t="str">
        <v>Michael Brown</v>
      </c>
      <c r="D10" s="38">
        <v>749.95</v>
      </c>
      <c r="E10" s="10" t="str">
        <f t="shared" si="0"/>
        <v>▼</v>
      </c>
    </row>
    <row r="11" spans="2:7" hidden="1">
      <c r="B11" s="10" t="str">
        <v>TRX0220</v>
      </c>
      <c r="C11" s="10" t="str">
        <v>Michael Brown</v>
      </c>
      <c r="D11" s="38">
        <v>299.98</v>
      </c>
      <c r="E11" s="10" t="str">
        <f t="shared" si="0"/>
        <v>▼</v>
      </c>
    </row>
    <row r="12" spans="2:7" hidden="1">
      <c r="B12" s="10" t="str">
        <v>TRX0113</v>
      </c>
      <c r="C12" s="10" t="str">
        <v>Michael Brown</v>
      </c>
      <c r="D12" s="38">
        <v>1399.98</v>
      </c>
      <c r="E12" s="10" t="str">
        <f t="shared" si="0"/>
        <v>▼</v>
      </c>
    </row>
    <row r="13" spans="2:7" hidden="1">
      <c r="B13" s="10" t="str">
        <v>TRX0174</v>
      </c>
      <c r="C13" s="10" t="str">
        <v>Michael Brown</v>
      </c>
      <c r="D13" s="38">
        <v>1199.96</v>
      </c>
      <c r="E13" s="10" t="str">
        <f t="shared" si="0"/>
        <v>▼</v>
      </c>
    </row>
    <row r="14" spans="2:7" hidden="1">
      <c r="B14" s="10" t="str">
        <v>TRX0046</v>
      </c>
      <c r="C14" s="10" t="str">
        <v>Michael Brown</v>
      </c>
      <c r="D14" s="38">
        <v>299.98</v>
      </c>
      <c r="E14" s="10" t="str">
        <f t="shared" si="0"/>
        <v>▼</v>
      </c>
    </row>
    <row r="15" spans="2:7" hidden="1">
      <c r="B15" s="10" t="str">
        <v>TRX0143</v>
      </c>
      <c r="C15" s="10" t="str">
        <v>Michael Brown</v>
      </c>
      <c r="D15" s="38">
        <v>599.98</v>
      </c>
      <c r="E15" s="10" t="str">
        <f t="shared" si="0"/>
        <v>▼</v>
      </c>
    </row>
    <row r="16" spans="2:7" hidden="1">
      <c r="B16" s="10" t="str">
        <v>TRX0091</v>
      </c>
      <c r="C16" s="10" t="str">
        <v>Michael Brown</v>
      </c>
      <c r="D16" s="38">
        <v>899.97</v>
      </c>
      <c r="E16" s="10" t="str">
        <f t="shared" si="0"/>
        <v>▼</v>
      </c>
    </row>
    <row r="17" spans="2:5" hidden="1">
      <c r="B17" s="10" t="str">
        <v>TRX0166</v>
      </c>
      <c r="C17" s="10" t="str">
        <v>Michael Brown</v>
      </c>
      <c r="D17" s="38">
        <v>269.97000000000003</v>
      </c>
      <c r="E17" s="10" t="str">
        <f t="shared" si="0"/>
        <v>▼</v>
      </c>
    </row>
    <row r="18" spans="2:5" hidden="1">
      <c r="B18" s="10" t="str">
        <v>TRX0168</v>
      </c>
      <c r="C18" s="10" t="str">
        <v>Michael Brown</v>
      </c>
      <c r="D18" s="38">
        <v>449.97</v>
      </c>
      <c r="E18" s="10" t="str">
        <f t="shared" si="0"/>
        <v>▼</v>
      </c>
    </row>
    <row r="19" spans="2:5" hidden="1">
      <c r="B19" s="10" t="str">
        <v>TRX0208</v>
      </c>
      <c r="C19" s="10" t="str">
        <v>Sarah Davis</v>
      </c>
      <c r="D19" s="38">
        <v>449.95</v>
      </c>
      <c r="E19" s="10" t="str">
        <f t="shared" si="0"/>
        <v>▼</v>
      </c>
    </row>
    <row r="20" spans="2:5" hidden="1">
      <c r="B20" s="10" t="str">
        <v>TRX0054</v>
      </c>
      <c r="C20" s="10" t="str">
        <v>Sarah Davis</v>
      </c>
      <c r="D20" s="38">
        <v>799.96</v>
      </c>
      <c r="E20" s="10" t="str">
        <f t="shared" si="0"/>
        <v>▼</v>
      </c>
    </row>
    <row r="21" spans="2:5" hidden="1">
      <c r="B21" s="10" t="str">
        <v>TRX0009</v>
      </c>
      <c r="C21" s="10" t="str">
        <v>Sarah Davis</v>
      </c>
      <c r="D21" s="38">
        <v>1399.98</v>
      </c>
      <c r="E21" s="10" t="str">
        <f t="shared" si="0"/>
        <v>▼</v>
      </c>
    </row>
    <row r="22" spans="2:5" hidden="1">
      <c r="B22" s="10" t="str">
        <v>TRX0210</v>
      </c>
      <c r="C22" s="10" t="str">
        <v>Sarah Davis</v>
      </c>
      <c r="D22" s="38">
        <v>749.95</v>
      </c>
      <c r="E22" s="10" t="str">
        <f t="shared" si="0"/>
        <v>▼</v>
      </c>
    </row>
    <row r="23" spans="2:5" hidden="1">
      <c r="B23" s="10" t="str">
        <v>TRX0148</v>
      </c>
      <c r="C23" s="10" t="str">
        <v>Sarah Davis</v>
      </c>
      <c r="D23" s="38">
        <v>2099.9699999999998</v>
      </c>
      <c r="E23" s="10" t="str">
        <f t="shared" si="0"/>
        <v>▼</v>
      </c>
    </row>
    <row r="24" spans="2:5" hidden="1">
      <c r="B24" s="10" t="str">
        <v>TRX0082</v>
      </c>
      <c r="C24" s="10" t="str">
        <v>James Johnson</v>
      </c>
      <c r="D24" s="38">
        <v>179.97</v>
      </c>
      <c r="E24" s="10" t="str">
        <f t="shared" si="0"/>
        <v>▼</v>
      </c>
    </row>
    <row r="25" spans="2:5" hidden="1">
      <c r="B25" s="10" t="str">
        <v>TRX0194</v>
      </c>
      <c r="C25" s="10" t="str">
        <v>Lisa Anderson</v>
      </c>
      <c r="D25" s="38">
        <v>299.98</v>
      </c>
      <c r="E25" s="10" t="str">
        <f t="shared" si="0"/>
        <v>▼</v>
      </c>
    </row>
    <row r="26" spans="2:5" hidden="1">
      <c r="B26" s="10" t="str">
        <v>TRX0021</v>
      </c>
      <c r="C26" s="10" t="str">
        <v>Lisa Anderson</v>
      </c>
      <c r="D26" s="38">
        <v>239.97</v>
      </c>
      <c r="E26" s="10" t="str">
        <f t="shared" si="0"/>
        <v>▼</v>
      </c>
    </row>
    <row r="27" spans="2:5" hidden="1">
      <c r="B27" s="10" t="str">
        <v>TRX0088</v>
      </c>
      <c r="C27" s="10" t="str">
        <v>Lisa Anderson</v>
      </c>
      <c r="D27" s="38">
        <v>449.95</v>
      </c>
      <c r="E27" s="10" t="str">
        <f t="shared" si="0"/>
        <v>▼</v>
      </c>
    </row>
    <row r="28" spans="2:5" hidden="1">
      <c r="B28" s="10" t="str">
        <v>TRX0237</v>
      </c>
      <c r="C28" s="10" t="str">
        <v>Lisa Anderson</v>
      </c>
      <c r="D28" s="38">
        <v>749.95</v>
      </c>
      <c r="E28" s="10" t="str">
        <f t="shared" si="0"/>
        <v>▼</v>
      </c>
    </row>
    <row r="29" spans="2:5" hidden="1">
      <c r="B29" s="10" t="str">
        <v>TRX0110</v>
      </c>
      <c r="C29" s="10" t="str">
        <v>Lisa Anderson</v>
      </c>
      <c r="D29" s="38">
        <v>299.95</v>
      </c>
      <c r="E29" s="10" t="str">
        <f t="shared" si="0"/>
        <v>▼</v>
      </c>
    </row>
    <row r="30" spans="2:5" hidden="1">
      <c r="B30" s="10" t="str">
        <v>TRX0070</v>
      </c>
      <c r="C30" s="10" t="str">
        <v>David Martinez</v>
      </c>
      <c r="D30" s="38">
        <v>399.95</v>
      </c>
      <c r="E30" s="10" t="str">
        <f t="shared" si="0"/>
        <v>▼</v>
      </c>
    </row>
    <row r="31" spans="2:5" hidden="1">
      <c r="B31" s="10" t="str">
        <v>TRX0006</v>
      </c>
      <c r="C31" s="10" t="str">
        <v>David Martinez</v>
      </c>
      <c r="D31" s="38">
        <v>119.98</v>
      </c>
      <c r="E31" s="10" t="str">
        <f t="shared" si="0"/>
        <v>▼</v>
      </c>
    </row>
    <row r="32" spans="2:5" hidden="1">
      <c r="B32" s="10" t="str">
        <v>TRX0020</v>
      </c>
      <c r="C32" s="10" t="str">
        <v>David Martinez</v>
      </c>
      <c r="D32" s="38">
        <v>599.96</v>
      </c>
      <c r="E32" s="10" t="str">
        <f t="shared" si="0"/>
        <v>▼</v>
      </c>
    </row>
    <row r="33" spans="2:5" hidden="1">
      <c r="B33" s="10" t="str">
        <v>TRX0081</v>
      </c>
      <c r="C33" s="10" t="str">
        <v>David Martinez</v>
      </c>
      <c r="D33" s="38">
        <v>149.99</v>
      </c>
      <c r="E33" s="10" t="str">
        <f t="shared" si="0"/>
        <v>▼</v>
      </c>
    </row>
    <row r="34" spans="2:5" hidden="1">
      <c r="B34" s="10" t="str">
        <v>TRX0183</v>
      </c>
      <c r="C34" s="10" t="str">
        <v>David Martinez</v>
      </c>
      <c r="D34" s="38">
        <v>89.99</v>
      </c>
      <c r="E34" s="10" t="str">
        <f t="shared" si="0"/>
        <v>▼</v>
      </c>
    </row>
    <row r="35" spans="2:5" hidden="1">
      <c r="B35" s="10" t="str">
        <v>TRX0008</v>
      </c>
      <c r="C35" s="10" t="str">
        <v>David Martinez</v>
      </c>
      <c r="D35" s="38">
        <v>449.97</v>
      </c>
      <c r="E35" s="10" t="str">
        <f t="shared" si="0"/>
        <v>▼</v>
      </c>
    </row>
    <row r="36" spans="2:5">
      <c r="B36" s="10" t="str">
        <v>TRX0015</v>
      </c>
      <c r="C36" s="10" t="str">
        <v>Jennifer Taylor</v>
      </c>
      <c r="D36" s="38">
        <v>3499.95</v>
      </c>
      <c r="E36" s="10" t="str">
        <f t="shared" si="0"/>
        <v>▲</v>
      </c>
    </row>
    <row r="37" spans="2:5" hidden="1">
      <c r="B37" s="10" t="str">
        <v>TRX0150</v>
      </c>
      <c r="C37" s="10" t="str">
        <v>Jennifer Taylor</v>
      </c>
      <c r="D37" s="38">
        <v>599.98</v>
      </c>
      <c r="E37" s="10" t="str">
        <f t="shared" si="0"/>
        <v>▼</v>
      </c>
    </row>
    <row r="38" spans="2:5" hidden="1">
      <c r="B38" s="10" t="str">
        <v>TRX0112</v>
      </c>
      <c r="C38" s="10" t="str">
        <v>Jennifer Taylor</v>
      </c>
      <c r="D38" s="38">
        <v>319.95999999999998</v>
      </c>
      <c r="E38" s="10" t="str">
        <f t="shared" si="0"/>
        <v>▼</v>
      </c>
    </row>
    <row r="39" spans="2:5" hidden="1">
      <c r="B39" s="10" t="str">
        <v>TRX0036</v>
      </c>
      <c r="C39" s="10" t="str">
        <v>Jennifer Taylor</v>
      </c>
      <c r="D39" s="38">
        <v>319.95999999999998</v>
      </c>
      <c r="E39" s="10" t="str">
        <f t="shared" si="0"/>
        <v>▼</v>
      </c>
    </row>
    <row r="40" spans="2:5" hidden="1">
      <c r="B40" s="10" t="str">
        <v>TRX0135</v>
      </c>
      <c r="C40" s="10" t="str">
        <v>Robert Thomas</v>
      </c>
      <c r="D40" s="38">
        <v>2699.97</v>
      </c>
      <c r="E40" s="10" t="str">
        <f t="shared" si="0"/>
        <v>▼</v>
      </c>
    </row>
    <row r="41" spans="2:5" hidden="1">
      <c r="B41" s="10" t="str">
        <v>TRX0007</v>
      </c>
      <c r="C41" s="10" t="str">
        <v>Robert Thomas</v>
      </c>
      <c r="D41" s="38">
        <v>179.98</v>
      </c>
      <c r="E41" s="10" t="str">
        <f t="shared" si="0"/>
        <v>▼</v>
      </c>
    </row>
    <row r="42" spans="2:5" hidden="1">
      <c r="B42" s="10" t="str">
        <v>TRX0156</v>
      </c>
      <c r="C42" s="10" t="str">
        <v>Robert Thomas</v>
      </c>
      <c r="D42" s="38">
        <v>89.99</v>
      </c>
      <c r="E42" s="10" t="str">
        <f t="shared" si="0"/>
        <v>▼</v>
      </c>
    </row>
    <row r="43" spans="2:5" hidden="1">
      <c r="B43" s="10" t="str">
        <v>TRX0072</v>
      </c>
      <c r="C43" s="10" t="str">
        <v>Robert Thomas</v>
      </c>
      <c r="D43" s="38">
        <v>449.97</v>
      </c>
      <c r="E43" s="10" t="str">
        <f t="shared" si="0"/>
        <v>▼</v>
      </c>
    </row>
    <row r="44" spans="2:5" hidden="1">
      <c r="B44" s="10" t="str">
        <v>TRX0116</v>
      </c>
      <c r="C44" s="10" t="str">
        <v>Robert Thomas</v>
      </c>
      <c r="D44" s="38">
        <v>89.99</v>
      </c>
      <c r="E44" s="10" t="str">
        <f t="shared" si="0"/>
        <v>▼</v>
      </c>
    </row>
    <row r="45" spans="2:5" hidden="1">
      <c r="B45" s="10" t="str">
        <v>TRX0134</v>
      </c>
      <c r="C45" s="10" t="str">
        <v>Maria Garcia</v>
      </c>
      <c r="D45" s="38">
        <v>1399.98</v>
      </c>
      <c r="E45" s="10" t="str">
        <f t="shared" si="0"/>
        <v>▼</v>
      </c>
    </row>
    <row r="46" spans="2:5" hidden="1">
      <c r="B46" s="10" t="str">
        <v>TRX0101</v>
      </c>
      <c r="C46" s="10" t="str">
        <v>Maria Garcia</v>
      </c>
      <c r="D46" s="38">
        <v>89.99</v>
      </c>
      <c r="E46" s="10" t="str">
        <f t="shared" si="0"/>
        <v>▼</v>
      </c>
    </row>
    <row r="47" spans="2:5" hidden="1">
      <c r="B47" s="10" t="str">
        <v>TRX0146</v>
      </c>
      <c r="C47" s="10" t="str">
        <v>Maria Garcia</v>
      </c>
      <c r="D47" s="38">
        <v>119.98</v>
      </c>
      <c r="E47" s="10" t="str">
        <f t="shared" si="0"/>
        <v>▼</v>
      </c>
    </row>
    <row r="48" spans="2:5" hidden="1">
      <c r="B48" s="10" t="str">
        <v>TRX0109</v>
      </c>
      <c r="C48" s="10" t="str">
        <v>Maria Garcia</v>
      </c>
      <c r="D48" s="38">
        <v>299.98</v>
      </c>
      <c r="E48" s="10" t="str">
        <f t="shared" si="0"/>
        <v>▼</v>
      </c>
    </row>
    <row r="49" spans="2:5" hidden="1">
      <c r="B49" s="10" t="str">
        <v>TRX0111</v>
      </c>
      <c r="C49" s="10" t="str">
        <v>William White</v>
      </c>
      <c r="D49" s="38">
        <v>149.99</v>
      </c>
      <c r="E49" s="10" t="str">
        <f t="shared" si="0"/>
        <v>▼</v>
      </c>
    </row>
    <row r="50" spans="2:5" hidden="1">
      <c r="B50" s="10" t="str">
        <v>TRX0137</v>
      </c>
      <c r="C50" s="10" t="str">
        <v>William White</v>
      </c>
      <c r="D50" s="38">
        <v>999.96</v>
      </c>
      <c r="E50" s="10" t="str">
        <f t="shared" si="0"/>
        <v>▼</v>
      </c>
    </row>
    <row r="51" spans="2:5">
      <c r="B51" s="10" t="str">
        <v>TRX0030</v>
      </c>
      <c r="C51" s="10" t="str">
        <v>William White</v>
      </c>
      <c r="D51" s="38">
        <v>3599.96</v>
      </c>
      <c r="E51" s="10" t="str">
        <f t="shared" si="0"/>
        <v>▲</v>
      </c>
    </row>
    <row r="52" spans="2:5">
      <c r="B52" s="10" t="str">
        <v>TRX0239</v>
      </c>
      <c r="C52" s="10" t="str">
        <v>Patricia Moore</v>
      </c>
      <c r="D52" s="38">
        <v>2799.96</v>
      </c>
      <c r="E52" s="10" t="str">
        <f t="shared" si="0"/>
        <v>▼</v>
      </c>
    </row>
    <row r="53" spans="2:5" hidden="1">
      <c r="B53" s="10" t="str">
        <v>TRX0004</v>
      </c>
      <c r="C53" s="10" t="str">
        <v>Patricia Moore</v>
      </c>
      <c r="D53" s="38">
        <v>449.95</v>
      </c>
      <c r="E53" s="10" t="str">
        <f t="shared" si="0"/>
        <v>▼</v>
      </c>
    </row>
    <row r="54" spans="2:5" hidden="1">
      <c r="B54" s="10" t="str">
        <v>TRX0232</v>
      </c>
      <c r="C54" s="10" t="str">
        <v>Patricia Moore</v>
      </c>
      <c r="D54" s="38">
        <v>899.97</v>
      </c>
      <c r="E54" s="10" t="str">
        <f t="shared" si="0"/>
        <v>▼</v>
      </c>
    </row>
    <row r="55" spans="2:5" hidden="1">
      <c r="B55" s="10" t="str">
        <v>TRX0115</v>
      </c>
      <c r="C55" s="10" t="str">
        <v>Patricia Moore</v>
      </c>
      <c r="D55" s="38">
        <v>179.98</v>
      </c>
      <c r="E55" s="10" t="str">
        <f t="shared" si="0"/>
        <v>▼</v>
      </c>
    </row>
    <row r="56" spans="2:5">
      <c r="B56" s="10" t="str">
        <v>TRX0104</v>
      </c>
      <c r="C56" s="10" t="str">
        <v>Patricia Moore</v>
      </c>
      <c r="D56" s="38">
        <v>3599.96</v>
      </c>
      <c r="E56" s="10" t="str">
        <f t="shared" si="0"/>
        <v>▲</v>
      </c>
    </row>
    <row r="57" spans="2:5" hidden="1">
      <c r="B57" s="10" t="str">
        <v>TRX0181</v>
      </c>
      <c r="C57" s="10" t="str">
        <v>Patricia Moore</v>
      </c>
      <c r="D57" s="38">
        <v>599.98</v>
      </c>
      <c r="E57" s="10" t="str">
        <f t="shared" si="0"/>
        <v>▼</v>
      </c>
    </row>
    <row r="58" spans="2:5" hidden="1">
      <c r="B58" s="10" t="str">
        <v>TRX0060</v>
      </c>
      <c r="C58" s="10" t="str">
        <v>Patricia Moore</v>
      </c>
      <c r="D58" s="38">
        <v>269.97000000000003</v>
      </c>
      <c r="E58" s="10" t="str">
        <f t="shared" si="0"/>
        <v>▼</v>
      </c>
    </row>
    <row r="59" spans="2:5" hidden="1">
      <c r="B59" s="10" t="str">
        <v>TRX0076</v>
      </c>
      <c r="C59" s="10" t="str">
        <v>Patricia Moore</v>
      </c>
      <c r="D59" s="38">
        <v>999.96</v>
      </c>
      <c r="E59" s="10" t="str">
        <f t="shared" si="0"/>
        <v>▼</v>
      </c>
    </row>
    <row r="60" spans="2:5" hidden="1">
      <c r="B60" s="10" t="str">
        <v>TRX0023</v>
      </c>
      <c r="C60" s="10" t="str">
        <v>Joseph Jackson</v>
      </c>
      <c r="D60" s="38">
        <v>749.97</v>
      </c>
      <c r="E60" s="10" t="str">
        <f t="shared" si="0"/>
        <v>▼</v>
      </c>
    </row>
    <row r="61" spans="2:5" hidden="1">
      <c r="B61" s="10" t="str">
        <v>TRX0234</v>
      </c>
      <c r="C61" s="10" t="str">
        <v>Joseph Jackson</v>
      </c>
      <c r="D61" s="38">
        <v>1249.95</v>
      </c>
      <c r="E61" s="10" t="str">
        <f t="shared" si="0"/>
        <v>▼</v>
      </c>
    </row>
    <row r="62" spans="2:5" hidden="1">
      <c r="B62" s="10" t="str">
        <v>TRX0018</v>
      </c>
      <c r="C62" s="10" t="str">
        <v>Joseph Jackson</v>
      </c>
      <c r="D62" s="38">
        <v>149.99</v>
      </c>
      <c r="E62" s="10" t="str">
        <f t="shared" si="0"/>
        <v>▼</v>
      </c>
    </row>
    <row r="63" spans="2:5">
      <c r="B63" s="10" t="str">
        <v>TRX0244</v>
      </c>
      <c r="C63" s="10" t="str">
        <v>Joseph Jackson</v>
      </c>
      <c r="D63" s="38">
        <v>4499.95</v>
      </c>
      <c r="E63" s="10" t="str">
        <f t="shared" si="0"/>
        <v>▲</v>
      </c>
    </row>
    <row r="64" spans="2:5" hidden="1">
      <c r="B64" s="10" t="str">
        <v>TRX0133</v>
      </c>
      <c r="C64" s="10" t="str">
        <v>Joseph Jackson</v>
      </c>
      <c r="D64" s="38">
        <v>299.98</v>
      </c>
      <c r="E64" s="10" t="str">
        <f t="shared" si="0"/>
        <v>▼</v>
      </c>
    </row>
    <row r="65" spans="2:5" hidden="1">
      <c r="B65" s="10" t="str">
        <v>TRX0235</v>
      </c>
      <c r="C65" s="10" t="str">
        <v>Linda Martin</v>
      </c>
      <c r="D65" s="38">
        <v>239.97</v>
      </c>
      <c r="E65" s="10" t="str">
        <f t="shared" si="0"/>
        <v>▼</v>
      </c>
    </row>
    <row r="66" spans="2:5" hidden="1">
      <c r="B66" s="10" t="str">
        <v>TRX0119</v>
      </c>
      <c r="C66" s="10" t="str">
        <v>Linda Martin</v>
      </c>
      <c r="D66" s="38">
        <v>449.97</v>
      </c>
      <c r="E66" s="10" t="str">
        <f t="shared" si="0"/>
        <v>▼</v>
      </c>
    </row>
    <row r="67" spans="2:5" hidden="1">
      <c r="B67" s="10" t="str">
        <v>TRX0206</v>
      </c>
      <c r="C67" s="10" t="str">
        <v>Linda Martin</v>
      </c>
      <c r="D67" s="38">
        <v>299.98</v>
      </c>
      <c r="E67" s="10" t="str">
        <f t="shared" si="0"/>
        <v>▼</v>
      </c>
    </row>
    <row r="68" spans="2:5" hidden="1">
      <c r="B68" s="10" t="str">
        <v>TRX0164</v>
      </c>
      <c r="C68" s="10" t="str">
        <v>Linda Martin</v>
      </c>
      <c r="D68" s="38">
        <v>299.98</v>
      </c>
      <c r="E68" s="10" t="str">
        <f t="shared" si="0"/>
        <v>▼</v>
      </c>
    </row>
    <row r="69" spans="2:5" hidden="1">
      <c r="B69" s="10" t="str">
        <v>TRX0129</v>
      </c>
      <c r="C69" s="10" t="str">
        <v>Richard Lee</v>
      </c>
      <c r="D69" s="38">
        <v>199.99</v>
      </c>
      <c r="E69" s="10" t="str">
        <f t="shared" ref="E69:E132" si="1">IF(D69&gt;3000,"▲",IF(D69=1500,"►","▼"))</f>
        <v>▼</v>
      </c>
    </row>
    <row r="70" spans="2:5" hidden="1">
      <c r="B70" s="10" t="str">
        <v>TRX0118</v>
      </c>
      <c r="C70" s="10" t="str">
        <v>Richard Lee</v>
      </c>
      <c r="D70" s="38">
        <v>299.98</v>
      </c>
      <c r="E70" s="10" t="str">
        <f t="shared" si="1"/>
        <v>▼</v>
      </c>
    </row>
    <row r="71" spans="2:5" hidden="1">
      <c r="B71" s="10" t="str">
        <v>TRX0229</v>
      </c>
      <c r="C71" s="10" t="str">
        <v>Richard Lee</v>
      </c>
      <c r="D71" s="38">
        <v>239.96</v>
      </c>
      <c r="E71" s="10" t="str">
        <f t="shared" si="1"/>
        <v>▼</v>
      </c>
    </row>
    <row r="72" spans="2:5" hidden="1">
      <c r="B72" s="10" t="str">
        <v>TRX0065</v>
      </c>
      <c r="C72" s="10" t="str">
        <v>Elizabeth Hall</v>
      </c>
      <c r="D72" s="38">
        <v>299.98</v>
      </c>
      <c r="E72" s="10" t="str">
        <f t="shared" si="1"/>
        <v>▼</v>
      </c>
    </row>
    <row r="73" spans="2:5" hidden="1">
      <c r="B73" s="10" t="str">
        <v>TRX0055</v>
      </c>
      <c r="C73" s="10" t="str">
        <v>Elizabeth Hall</v>
      </c>
      <c r="D73" s="38">
        <v>1399.98</v>
      </c>
      <c r="E73" s="10" t="str">
        <f t="shared" si="1"/>
        <v>▼</v>
      </c>
    </row>
    <row r="74" spans="2:5" hidden="1">
      <c r="B74" s="10" t="str">
        <v>TRX0059</v>
      </c>
      <c r="C74" s="10" t="str">
        <v>Elizabeth Hall</v>
      </c>
      <c r="D74" s="38">
        <v>1499.95</v>
      </c>
      <c r="E74" s="10" t="str">
        <f t="shared" si="1"/>
        <v>▼</v>
      </c>
    </row>
    <row r="75" spans="2:5" hidden="1">
      <c r="B75" s="10" t="str">
        <v>TRX0062</v>
      </c>
      <c r="C75" s="10" t="str">
        <v>Elizabeth Hall</v>
      </c>
      <c r="D75" s="38">
        <v>449.95</v>
      </c>
      <c r="E75" s="10" t="str">
        <f t="shared" si="1"/>
        <v>▼</v>
      </c>
    </row>
    <row r="76" spans="2:5" hidden="1">
      <c r="B76" s="10" t="str">
        <v>TRX0240</v>
      </c>
      <c r="C76" s="10" t="str">
        <v>Charles Allen</v>
      </c>
      <c r="D76" s="38">
        <v>179.97</v>
      </c>
      <c r="E76" s="10" t="str">
        <f t="shared" si="1"/>
        <v>▼</v>
      </c>
    </row>
    <row r="77" spans="2:5" hidden="1">
      <c r="B77" s="10" t="str">
        <v>TRX0029</v>
      </c>
      <c r="C77" s="10" t="str">
        <v>Charles Allen</v>
      </c>
      <c r="D77" s="38">
        <v>999.95</v>
      </c>
      <c r="E77" s="10" t="str">
        <f t="shared" si="1"/>
        <v>▼</v>
      </c>
    </row>
    <row r="78" spans="2:5" hidden="1">
      <c r="B78" s="10" t="str">
        <v>TRX0117</v>
      </c>
      <c r="C78" s="10" t="str">
        <v>Charles Allen</v>
      </c>
      <c r="D78" s="38">
        <v>89.99</v>
      </c>
      <c r="E78" s="10" t="str">
        <f t="shared" si="1"/>
        <v>▼</v>
      </c>
    </row>
    <row r="79" spans="2:5" hidden="1">
      <c r="B79" s="10" t="str">
        <v>TRX0192</v>
      </c>
      <c r="C79" s="10" t="str">
        <v>Charles Allen</v>
      </c>
      <c r="D79" s="38">
        <v>89.99</v>
      </c>
      <c r="E79" s="10" t="str">
        <f t="shared" si="1"/>
        <v>▼</v>
      </c>
    </row>
    <row r="80" spans="2:5" hidden="1">
      <c r="B80" s="10" t="str">
        <v>TRX0161</v>
      </c>
      <c r="C80" s="10" t="str">
        <v>Charles Allen</v>
      </c>
      <c r="D80" s="38">
        <v>79.989999999999995</v>
      </c>
      <c r="E80" s="10" t="str">
        <f t="shared" si="1"/>
        <v>▼</v>
      </c>
    </row>
    <row r="81" spans="2:5" hidden="1">
      <c r="B81" s="10" t="str">
        <v>TRX0094</v>
      </c>
      <c r="C81" s="10" t="str">
        <v>Charles Allen</v>
      </c>
      <c r="D81" s="38">
        <v>1249.95</v>
      </c>
      <c r="E81" s="10" t="str">
        <f t="shared" si="1"/>
        <v>▼</v>
      </c>
    </row>
    <row r="82" spans="2:5" hidden="1">
      <c r="B82" s="10" t="str">
        <v>TRX0083</v>
      </c>
      <c r="C82" s="10" t="str">
        <v>Charles Allen</v>
      </c>
      <c r="D82" s="38">
        <v>1499.95</v>
      </c>
      <c r="E82" s="10" t="str">
        <f t="shared" si="1"/>
        <v>▼</v>
      </c>
    </row>
    <row r="83" spans="2:5" hidden="1">
      <c r="B83" s="10" t="str">
        <v>TRX0227</v>
      </c>
      <c r="C83" s="10" t="str">
        <v>Charles Allen</v>
      </c>
      <c r="D83" s="38">
        <v>299.98</v>
      </c>
      <c r="E83" s="10" t="str">
        <f t="shared" si="1"/>
        <v>▼</v>
      </c>
    </row>
    <row r="84" spans="2:5" hidden="1">
      <c r="B84" s="10" t="str">
        <v>TRX0199</v>
      </c>
      <c r="C84" s="10" t="str">
        <v>Charles Allen</v>
      </c>
      <c r="D84" s="38">
        <v>599.96</v>
      </c>
      <c r="E84" s="10" t="str">
        <f t="shared" si="1"/>
        <v>▼</v>
      </c>
    </row>
    <row r="85" spans="2:5">
      <c r="B85" s="10" t="str">
        <v>TRX0231</v>
      </c>
      <c r="C85" s="10" t="str">
        <v>Barbara Young</v>
      </c>
      <c r="D85" s="38">
        <v>3499.95</v>
      </c>
      <c r="E85" s="10" t="str">
        <f t="shared" si="1"/>
        <v>▲</v>
      </c>
    </row>
    <row r="86" spans="2:5" hidden="1">
      <c r="B86" s="10" t="str">
        <v>TRX0114</v>
      </c>
      <c r="C86" s="10" t="str">
        <v>Barbara Young</v>
      </c>
      <c r="D86" s="38">
        <v>449.95</v>
      </c>
      <c r="E86" s="10" t="str">
        <f t="shared" si="1"/>
        <v>▼</v>
      </c>
    </row>
    <row r="87" spans="2:5" hidden="1">
      <c r="B87" s="10" t="str">
        <v>TRX0080</v>
      </c>
      <c r="C87" s="10" t="str">
        <v>Barbara Young</v>
      </c>
      <c r="D87" s="38">
        <v>499.98</v>
      </c>
      <c r="E87" s="10" t="str">
        <f t="shared" si="1"/>
        <v>▼</v>
      </c>
    </row>
    <row r="88" spans="2:5">
      <c r="B88" s="10" t="str">
        <v>TRX0173</v>
      </c>
      <c r="C88" s="10" t="str">
        <v>Barbara Young</v>
      </c>
      <c r="D88" s="38">
        <v>3499.95</v>
      </c>
      <c r="E88" s="10" t="str">
        <f t="shared" si="1"/>
        <v>▲</v>
      </c>
    </row>
    <row r="89" spans="2:5" hidden="1">
      <c r="B89" s="10" t="str">
        <v>TRX0214</v>
      </c>
      <c r="C89" s="10" t="str">
        <v>Barbara Young</v>
      </c>
      <c r="D89" s="38">
        <v>2699.97</v>
      </c>
      <c r="E89" s="10" t="str">
        <f t="shared" si="1"/>
        <v>▼</v>
      </c>
    </row>
    <row r="90" spans="2:5" hidden="1">
      <c r="B90" s="10" t="str">
        <v>TRX0042</v>
      </c>
      <c r="C90" s="10" t="str">
        <v>Daniel King</v>
      </c>
      <c r="D90" s="38">
        <v>79.989999999999995</v>
      </c>
      <c r="E90" s="10" t="str">
        <f t="shared" si="1"/>
        <v>▼</v>
      </c>
    </row>
    <row r="91" spans="2:5" hidden="1">
      <c r="B91" s="10" t="str">
        <v>TRX0228</v>
      </c>
      <c r="C91" s="10" t="str">
        <v>Daniel King</v>
      </c>
      <c r="D91" s="38">
        <v>299.99</v>
      </c>
      <c r="E91" s="10" t="str">
        <f t="shared" si="1"/>
        <v>▼</v>
      </c>
    </row>
    <row r="92" spans="2:5" hidden="1">
      <c r="B92" s="10" t="str">
        <v>TRX0002</v>
      </c>
      <c r="C92" s="10" t="str">
        <v>Daniel King</v>
      </c>
      <c r="D92" s="38">
        <v>899.97</v>
      </c>
      <c r="E92" s="10" t="str">
        <f t="shared" si="1"/>
        <v>▼</v>
      </c>
    </row>
    <row r="93" spans="2:5" hidden="1">
      <c r="B93" s="10" t="str">
        <v>TRX0077</v>
      </c>
      <c r="C93" s="10" t="str">
        <v>Daniel King</v>
      </c>
      <c r="D93" s="38">
        <v>449.95</v>
      </c>
      <c r="E93" s="10" t="str">
        <f t="shared" si="1"/>
        <v>▼</v>
      </c>
    </row>
    <row r="94" spans="2:5" hidden="1">
      <c r="B94" s="10" t="str">
        <v>TRX0085</v>
      </c>
      <c r="C94" s="10" t="str">
        <v>Daniel King</v>
      </c>
      <c r="D94" s="38">
        <v>899.97</v>
      </c>
      <c r="E94" s="10" t="str">
        <f t="shared" si="1"/>
        <v>▼</v>
      </c>
    </row>
    <row r="95" spans="2:5">
      <c r="B95" s="10" t="str">
        <v>TRX0163</v>
      </c>
      <c r="C95" s="10" t="str">
        <v>Daniel King</v>
      </c>
      <c r="D95" s="38">
        <v>4499.95</v>
      </c>
      <c r="E95" s="10" t="str">
        <f t="shared" si="1"/>
        <v>▲</v>
      </c>
    </row>
    <row r="96" spans="2:5" hidden="1">
      <c r="B96" s="10" t="str">
        <v>TRX0056</v>
      </c>
      <c r="C96" s="10" t="str">
        <v>Daniel King</v>
      </c>
      <c r="D96" s="38">
        <v>179.98</v>
      </c>
      <c r="E96" s="10" t="str">
        <f t="shared" si="1"/>
        <v>▼</v>
      </c>
    </row>
    <row r="97" spans="2:5" hidden="1">
      <c r="B97" s="10" t="str">
        <v>TRX0086</v>
      </c>
      <c r="C97" s="10" t="str">
        <v>Margaret Wright</v>
      </c>
      <c r="D97" s="38">
        <v>149.99</v>
      </c>
      <c r="E97" s="10" t="str">
        <f t="shared" si="1"/>
        <v>▼</v>
      </c>
    </row>
    <row r="98" spans="2:5" hidden="1">
      <c r="B98" s="10" t="str">
        <v>TRX0075</v>
      </c>
      <c r="C98" s="10" t="str">
        <v>Margaret Wright</v>
      </c>
      <c r="D98" s="38">
        <v>1249.95</v>
      </c>
      <c r="E98" s="10" t="str">
        <f t="shared" si="1"/>
        <v>▼</v>
      </c>
    </row>
    <row r="99" spans="2:5" hidden="1">
      <c r="B99" s="10" t="str">
        <v>TRX0090</v>
      </c>
      <c r="C99" s="10" t="str">
        <v>Margaret Wright</v>
      </c>
      <c r="D99" s="38">
        <v>249.99</v>
      </c>
      <c r="E99" s="10" t="str">
        <f t="shared" si="1"/>
        <v>▼</v>
      </c>
    </row>
    <row r="100" spans="2:5" hidden="1">
      <c r="B100" s="10" t="str">
        <v>TRX0213</v>
      </c>
      <c r="C100" s="10" t="str">
        <v>Margaret Wright</v>
      </c>
      <c r="D100" s="38">
        <v>449.95</v>
      </c>
      <c r="E100" s="10" t="str">
        <f t="shared" si="1"/>
        <v>▼</v>
      </c>
    </row>
    <row r="101" spans="2:5" hidden="1">
      <c r="B101" s="10" t="str">
        <v>TRX0139</v>
      </c>
      <c r="C101" s="10" t="str">
        <v>Kevin Scott</v>
      </c>
      <c r="D101" s="38">
        <v>179.97</v>
      </c>
      <c r="E101" s="10" t="str">
        <f t="shared" si="1"/>
        <v>▼</v>
      </c>
    </row>
    <row r="102" spans="2:5" hidden="1">
      <c r="B102" s="10" t="str">
        <v>TRX0041</v>
      </c>
      <c r="C102" s="10" t="str">
        <v>Kevin Scott</v>
      </c>
      <c r="D102" s="38">
        <v>899.99</v>
      </c>
      <c r="E102" s="10" t="str">
        <f t="shared" si="1"/>
        <v>▼</v>
      </c>
    </row>
    <row r="103" spans="2:5" hidden="1">
      <c r="B103" s="10" t="str">
        <v>TRX0078</v>
      </c>
      <c r="C103" s="10" t="str">
        <v>Kevin Scott</v>
      </c>
      <c r="D103" s="38">
        <v>79.989999999999995</v>
      </c>
      <c r="E103" s="10" t="str">
        <f t="shared" si="1"/>
        <v>▼</v>
      </c>
    </row>
    <row r="104" spans="2:5" hidden="1">
      <c r="B104" s="10" t="str">
        <v>TRX0045</v>
      </c>
      <c r="C104" s="10" t="str">
        <v>Kevin Scott</v>
      </c>
      <c r="D104" s="38">
        <v>899.97</v>
      </c>
      <c r="E104" s="10" t="str">
        <f t="shared" si="1"/>
        <v>▼</v>
      </c>
    </row>
    <row r="105" spans="2:5" hidden="1">
      <c r="B105" s="10" t="str">
        <v>TRX0171</v>
      </c>
      <c r="C105" s="10" t="str">
        <v>Kevin Scott</v>
      </c>
      <c r="D105" s="38">
        <v>599.98</v>
      </c>
      <c r="E105" s="10" t="str">
        <f t="shared" si="1"/>
        <v>▼</v>
      </c>
    </row>
    <row r="106" spans="2:5" hidden="1">
      <c r="B106" s="10" t="str">
        <v>TRX0089</v>
      </c>
      <c r="C106" s="10" t="str">
        <v>Kevin Scott</v>
      </c>
      <c r="D106" s="38">
        <v>599.97</v>
      </c>
      <c r="E106" s="10" t="str">
        <f t="shared" si="1"/>
        <v>▼</v>
      </c>
    </row>
    <row r="107" spans="2:5" hidden="1">
      <c r="B107" s="10" t="str">
        <v>TRX0138</v>
      </c>
      <c r="C107" s="10" t="str">
        <v>Susan Green</v>
      </c>
      <c r="D107" s="38">
        <v>149.99</v>
      </c>
      <c r="E107" s="10" t="str">
        <f t="shared" si="1"/>
        <v>▼</v>
      </c>
    </row>
    <row r="108" spans="2:5" hidden="1">
      <c r="B108" s="10" t="str">
        <v>TRX0040</v>
      </c>
      <c r="C108" s="10" t="str">
        <v>Susan Green</v>
      </c>
      <c r="D108" s="38">
        <v>1499.95</v>
      </c>
      <c r="E108" s="10" t="str">
        <f t="shared" si="1"/>
        <v>▼</v>
      </c>
    </row>
    <row r="109" spans="2:5" hidden="1">
      <c r="B109" s="10" t="str">
        <v>TRX0052</v>
      </c>
      <c r="C109" s="10" t="str">
        <v>Susan Green</v>
      </c>
      <c r="D109" s="38">
        <v>89.99</v>
      </c>
      <c r="E109" s="10" t="str">
        <f t="shared" si="1"/>
        <v>▼</v>
      </c>
    </row>
    <row r="110" spans="2:5" hidden="1">
      <c r="B110" s="10" t="str">
        <v>TRX0126</v>
      </c>
      <c r="C110" s="10" t="str">
        <v>Susan Green</v>
      </c>
      <c r="D110" s="38">
        <v>239.96</v>
      </c>
      <c r="E110" s="10" t="str">
        <f t="shared" si="1"/>
        <v>▼</v>
      </c>
    </row>
    <row r="111" spans="2:5" hidden="1">
      <c r="B111" s="10" t="str">
        <v>TRX0155</v>
      </c>
      <c r="C111" s="10" t="str">
        <v>Paul Baker</v>
      </c>
      <c r="D111" s="38">
        <v>749.97</v>
      </c>
      <c r="E111" s="10" t="str">
        <f t="shared" si="1"/>
        <v>▼</v>
      </c>
    </row>
    <row r="112" spans="2:5">
      <c r="B112" s="10" t="str">
        <v>TRX0154</v>
      </c>
      <c r="C112" s="10" t="str">
        <v>Paul Baker</v>
      </c>
      <c r="D112" s="38">
        <v>4499.95</v>
      </c>
      <c r="E112" s="10" t="str">
        <f t="shared" si="1"/>
        <v>▲</v>
      </c>
    </row>
    <row r="113" spans="2:5" hidden="1">
      <c r="B113" s="10" t="str">
        <v>TRX0074</v>
      </c>
      <c r="C113" s="10" t="str">
        <v>Paul Baker</v>
      </c>
      <c r="D113" s="38">
        <v>249.99</v>
      </c>
      <c r="E113" s="10" t="str">
        <f t="shared" si="1"/>
        <v>▼</v>
      </c>
    </row>
    <row r="114" spans="2:5" hidden="1">
      <c r="B114" s="10" t="str">
        <v>TRX0057</v>
      </c>
      <c r="C114" s="10" t="str">
        <v>Paul Baker</v>
      </c>
      <c r="D114" s="38">
        <v>1249.95</v>
      </c>
      <c r="E114" s="10" t="str">
        <f t="shared" si="1"/>
        <v>▼</v>
      </c>
    </row>
    <row r="115" spans="2:5" hidden="1">
      <c r="B115" s="10" t="str">
        <v>TRX0172</v>
      </c>
      <c r="C115" s="10" t="str">
        <v>Paul Baker</v>
      </c>
      <c r="D115" s="38">
        <v>299.95</v>
      </c>
      <c r="E115" s="10" t="str">
        <f t="shared" si="1"/>
        <v>▼</v>
      </c>
    </row>
    <row r="116" spans="2:5" hidden="1">
      <c r="B116" s="10" t="str">
        <v>TRX0196</v>
      </c>
      <c r="C116" s="10" t="str">
        <v>Paul Baker</v>
      </c>
      <c r="D116" s="38">
        <v>179.98</v>
      </c>
      <c r="E116" s="10" t="str">
        <f t="shared" si="1"/>
        <v>▼</v>
      </c>
    </row>
    <row r="117" spans="2:5" hidden="1">
      <c r="B117" s="10" t="str">
        <v>TRX0233</v>
      </c>
      <c r="C117" s="10" t="str">
        <v>Paul Baker</v>
      </c>
      <c r="D117" s="38">
        <v>179.98</v>
      </c>
      <c r="E117" s="10" t="str">
        <f t="shared" si="1"/>
        <v>▼</v>
      </c>
    </row>
    <row r="118" spans="2:5" hidden="1">
      <c r="B118" s="10" t="str">
        <v>TRX0019</v>
      </c>
      <c r="C118" s="10" t="str">
        <v>Paul Baker</v>
      </c>
      <c r="D118" s="38">
        <v>899.97</v>
      </c>
      <c r="E118" s="10" t="str">
        <f t="shared" si="1"/>
        <v>▼</v>
      </c>
    </row>
    <row r="119" spans="2:5" hidden="1">
      <c r="B119" s="10" t="str">
        <v>TRX0092</v>
      </c>
      <c r="C119" s="10" t="str">
        <v>Dorothy Nelson</v>
      </c>
      <c r="D119" s="38">
        <v>119.98</v>
      </c>
      <c r="E119" s="10" t="str">
        <f t="shared" si="1"/>
        <v>▼</v>
      </c>
    </row>
    <row r="120" spans="2:5" hidden="1">
      <c r="B120" s="10" t="str">
        <v>TRX0193</v>
      </c>
      <c r="C120" s="10" t="str">
        <v>Dorothy Nelson</v>
      </c>
      <c r="D120" s="38">
        <v>749.95</v>
      </c>
      <c r="E120" s="10" t="str">
        <f t="shared" si="1"/>
        <v>▼</v>
      </c>
    </row>
    <row r="121" spans="2:5" hidden="1">
      <c r="B121" s="10" t="str">
        <v>TRX0108</v>
      </c>
      <c r="C121" s="10" t="str">
        <v>Dorothy Nelson</v>
      </c>
      <c r="D121" s="38">
        <v>899.97</v>
      </c>
      <c r="E121" s="10" t="str">
        <f t="shared" si="1"/>
        <v>▼</v>
      </c>
    </row>
    <row r="122" spans="2:5">
      <c r="B122" s="10" t="str">
        <v>TRX0066</v>
      </c>
      <c r="C122" s="10" t="str">
        <v>Dorothy Nelson</v>
      </c>
      <c r="D122" s="38">
        <v>2799.96</v>
      </c>
      <c r="E122" s="10" t="str">
        <f t="shared" si="1"/>
        <v>▼</v>
      </c>
    </row>
    <row r="123" spans="2:5" hidden="1">
      <c r="B123" s="10" t="str">
        <v>TRX0159</v>
      </c>
      <c r="C123" s="10" t="str">
        <v>Dorothy Nelson</v>
      </c>
      <c r="D123" s="38">
        <v>999.96</v>
      </c>
      <c r="E123" s="10" t="str">
        <f t="shared" si="1"/>
        <v>▼</v>
      </c>
    </row>
    <row r="124" spans="2:5" hidden="1">
      <c r="B124" s="10" t="str">
        <v>TRX0013</v>
      </c>
      <c r="C124" s="10" t="str">
        <v>Dorothy Nelson</v>
      </c>
      <c r="D124" s="38">
        <v>2699.97</v>
      </c>
      <c r="E124" s="10" t="str">
        <f t="shared" si="1"/>
        <v>▼</v>
      </c>
    </row>
    <row r="125" spans="2:5" hidden="1">
      <c r="B125" s="10" t="str">
        <v>TRX0049</v>
      </c>
      <c r="C125" s="10" t="str">
        <v>Mark Carter</v>
      </c>
      <c r="D125" s="38">
        <v>599.96</v>
      </c>
      <c r="E125" s="10" t="str">
        <f t="shared" si="1"/>
        <v>▼</v>
      </c>
    </row>
    <row r="126" spans="2:5">
      <c r="B126" s="10" t="str">
        <v>TRX0122</v>
      </c>
      <c r="C126" s="10" t="str">
        <v>Mark Carter</v>
      </c>
      <c r="D126" s="38">
        <v>3599.96</v>
      </c>
      <c r="E126" s="10" t="str">
        <f t="shared" si="1"/>
        <v>▲</v>
      </c>
    </row>
    <row r="127" spans="2:5" hidden="1">
      <c r="B127" s="10" t="str">
        <v>TRX0242</v>
      </c>
      <c r="C127" s="10" t="str">
        <v>Mark Carter</v>
      </c>
      <c r="D127" s="38">
        <v>1199.96</v>
      </c>
      <c r="E127" s="10" t="str">
        <f t="shared" si="1"/>
        <v>▼</v>
      </c>
    </row>
    <row r="128" spans="2:5" hidden="1">
      <c r="B128" s="10" t="str">
        <v>TRX0157</v>
      </c>
      <c r="C128" s="10" t="str">
        <v>Mark Carter</v>
      </c>
      <c r="D128" s="38">
        <v>179.98</v>
      </c>
      <c r="E128" s="10" t="str">
        <f t="shared" si="1"/>
        <v>▼</v>
      </c>
    </row>
    <row r="129" spans="2:5" hidden="1">
      <c r="B129" s="10" t="str">
        <v>TRX0217</v>
      </c>
      <c r="C129" s="10" t="str">
        <v>Mark Carter</v>
      </c>
      <c r="D129" s="38">
        <v>1399.98</v>
      </c>
      <c r="E129" s="10" t="str">
        <f t="shared" si="1"/>
        <v>▼</v>
      </c>
    </row>
    <row r="130" spans="2:5" hidden="1">
      <c r="B130" s="10" t="str">
        <v>TRX0205</v>
      </c>
      <c r="C130" s="10" t="str">
        <v>Mark Carter</v>
      </c>
      <c r="D130" s="38">
        <v>1499.95</v>
      </c>
      <c r="E130" s="10" t="str">
        <f t="shared" si="1"/>
        <v>▼</v>
      </c>
    </row>
    <row r="131" spans="2:5" hidden="1">
      <c r="B131" s="10" t="str">
        <v>TRX0140</v>
      </c>
      <c r="C131" s="10" t="str">
        <v>Mark Carter</v>
      </c>
      <c r="D131" s="38">
        <v>179.98</v>
      </c>
      <c r="E131" s="10" t="str">
        <f t="shared" si="1"/>
        <v>▼</v>
      </c>
    </row>
    <row r="132" spans="2:5" hidden="1">
      <c r="B132" s="10" t="str">
        <v>TRX0033</v>
      </c>
      <c r="C132" s="10" t="str">
        <v>Mark Carter</v>
      </c>
      <c r="D132" s="38">
        <v>1399.98</v>
      </c>
      <c r="E132" s="10" t="str">
        <f t="shared" si="1"/>
        <v>▼</v>
      </c>
    </row>
    <row r="133" spans="2:5">
      <c r="B133" s="10" t="str">
        <v>TRX0201</v>
      </c>
      <c r="C133" s="10" t="str">
        <v>Mark Carter</v>
      </c>
      <c r="D133" s="38">
        <v>3499.95</v>
      </c>
      <c r="E133" s="10" t="str">
        <f t="shared" ref="E133:E196" si="2">IF(D133&gt;3000,"▲",IF(D133=1500,"►","▼"))</f>
        <v>▲</v>
      </c>
    </row>
    <row r="134" spans="2:5" hidden="1">
      <c r="B134" s="10" t="str">
        <v>TRX0207</v>
      </c>
      <c r="C134" s="10" t="str">
        <v>Mark Carter</v>
      </c>
      <c r="D134" s="38">
        <v>899.99</v>
      </c>
      <c r="E134" s="10" t="str">
        <f t="shared" si="2"/>
        <v>▼</v>
      </c>
    </row>
    <row r="135" spans="2:5" hidden="1">
      <c r="B135" s="10" t="str">
        <v>TRX0022</v>
      </c>
      <c r="C135" s="10" t="str">
        <v>Mark Carter</v>
      </c>
      <c r="D135" s="38">
        <v>299.99</v>
      </c>
      <c r="E135" s="10" t="str">
        <f t="shared" si="2"/>
        <v>▼</v>
      </c>
    </row>
    <row r="136" spans="2:5" hidden="1">
      <c r="B136" s="10" t="str">
        <v>TRX0178</v>
      </c>
      <c r="C136" s="10" t="str">
        <v>Mark Carter</v>
      </c>
      <c r="D136" s="38">
        <v>899.97</v>
      </c>
      <c r="E136" s="10" t="str">
        <f t="shared" si="2"/>
        <v>▼</v>
      </c>
    </row>
    <row r="137" spans="2:5" hidden="1">
      <c r="B137" s="10" t="str">
        <v>TRX0185</v>
      </c>
      <c r="C137" s="10" t="str">
        <v>Karen Hill</v>
      </c>
      <c r="D137" s="38">
        <v>179.97</v>
      </c>
      <c r="E137" s="10" t="str">
        <f t="shared" si="2"/>
        <v>▼</v>
      </c>
    </row>
    <row r="138" spans="2:5" hidden="1">
      <c r="B138" s="10" t="str">
        <v>TRX0131</v>
      </c>
      <c r="C138" s="10" t="str">
        <v>Karen Hill</v>
      </c>
      <c r="D138" s="38">
        <v>599.97</v>
      </c>
      <c r="E138" s="10" t="str">
        <f t="shared" si="2"/>
        <v>▼</v>
      </c>
    </row>
    <row r="139" spans="2:5" hidden="1">
      <c r="B139" s="10" t="str">
        <v>TRX0098</v>
      </c>
      <c r="C139" s="10" t="str">
        <v>Karen Hill</v>
      </c>
      <c r="D139" s="38">
        <v>749.97</v>
      </c>
      <c r="E139" s="10" t="str">
        <f t="shared" si="2"/>
        <v>▼</v>
      </c>
    </row>
    <row r="140" spans="2:5" hidden="1">
      <c r="B140" s="10" t="str">
        <v>TRX0195</v>
      </c>
      <c r="C140" s="10" t="str">
        <v>Karen Hill</v>
      </c>
      <c r="D140" s="38">
        <v>499.98</v>
      </c>
      <c r="E140" s="10" t="str">
        <f t="shared" si="2"/>
        <v>▼</v>
      </c>
    </row>
    <row r="141" spans="2:5" hidden="1">
      <c r="B141" s="10" t="str">
        <v>TRX0017</v>
      </c>
      <c r="C141" s="10" t="str">
        <v>Karen Hill</v>
      </c>
      <c r="D141" s="38">
        <v>899.97</v>
      </c>
      <c r="E141" s="10" t="str">
        <f t="shared" si="2"/>
        <v>▼</v>
      </c>
    </row>
    <row r="142" spans="2:5" hidden="1">
      <c r="B142" s="10" t="str">
        <v>TRX0125</v>
      </c>
      <c r="C142" s="10" t="str">
        <v>Karen Hill</v>
      </c>
      <c r="D142" s="38">
        <v>2099.9699999999998</v>
      </c>
      <c r="E142" s="10" t="str">
        <f t="shared" si="2"/>
        <v>▼</v>
      </c>
    </row>
    <row r="143" spans="2:5">
      <c r="B143" s="10" t="str">
        <v>TRX0010</v>
      </c>
      <c r="C143" s="10" t="str">
        <v>Karen Hill</v>
      </c>
      <c r="D143" s="38">
        <v>2799.96</v>
      </c>
      <c r="E143" s="10" t="str">
        <f t="shared" si="2"/>
        <v>▼</v>
      </c>
    </row>
    <row r="144" spans="2:5" hidden="1">
      <c r="B144" s="10" t="str">
        <v>TRX0250</v>
      </c>
      <c r="C144" s="10" t="str">
        <v>Karen Hill</v>
      </c>
      <c r="D144" s="38">
        <v>179.98</v>
      </c>
      <c r="E144" s="10" t="str">
        <f t="shared" si="2"/>
        <v>▼</v>
      </c>
    </row>
    <row r="145" spans="2:5" hidden="1">
      <c r="B145" s="10" t="str">
        <v>TRX0230</v>
      </c>
      <c r="C145" s="10" t="str">
        <v>George Adams</v>
      </c>
      <c r="D145" s="38">
        <v>899.99</v>
      </c>
      <c r="E145" s="10" t="str">
        <f t="shared" si="2"/>
        <v>▼</v>
      </c>
    </row>
    <row r="146" spans="2:5" hidden="1">
      <c r="B146" s="10" t="str">
        <v>TRX0158</v>
      </c>
      <c r="C146" s="10" t="str">
        <v>George Adams</v>
      </c>
      <c r="D146" s="38">
        <v>2699.97</v>
      </c>
      <c r="E146" s="10" t="str">
        <f t="shared" si="2"/>
        <v>▼</v>
      </c>
    </row>
    <row r="147" spans="2:5" hidden="1">
      <c r="B147" s="10" t="str">
        <v>TRX0149</v>
      </c>
      <c r="C147" s="10" t="str">
        <v>George Adams</v>
      </c>
      <c r="D147" s="38">
        <v>179.97</v>
      </c>
      <c r="E147" s="10" t="str">
        <f t="shared" si="2"/>
        <v>▼</v>
      </c>
    </row>
    <row r="148" spans="2:5" hidden="1">
      <c r="B148" s="10" t="str">
        <v>TRX0121</v>
      </c>
      <c r="C148" s="10" t="str">
        <v>Betty Campbell</v>
      </c>
      <c r="D148" s="38">
        <v>89.99</v>
      </c>
      <c r="E148" s="10" t="str">
        <f t="shared" si="2"/>
        <v>▼</v>
      </c>
    </row>
    <row r="149" spans="2:5" hidden="1">
      <c r="B149" s="10" t="str">
        <v>TRX0061</v>
      </c>
      <c r="C149" s="10" t="str">
        <v>Betty Campbell</v>
      </c>
      <c r="D149" s="38">
        <v>59.99</v>
      </c>
      <c r="E149" s="10" t="str">
        <f t="shared" si="2"/>
        <v>▼</v>
      </c>
    </row>
    <row r="150" spans="2:5" hidden="1">
      <c r="B150" s="10" t="str">
        <v>TRX0027</v>
      </c>
      <c r="C150" s="10" t="str">
        <v>Betty Campbell</v>
      </c>
      <c r="D150" s="38">
        <v>999.95</v>
      </c>
      <c r="E150" s="10" t="str">
        <f t="shared" si="2"/>
        <v>▼</v>
      </c>
    </row>
    <row r="151" spans="2:5">
      <c r="B151" s="10" t="str">
        <v>TRX0167</v>
      </c>
      <c r="C151" s="10" t="str">
        <v>Betty Campbell</v>
      </c>
      <c r="D151" s="38">
        <v>3499.95</v>
      </c>
      <c r="E151" s="10" t="str">
        <f t="shared" si="2"/>
        <v>▲</v>
      </c>
    </row>
    <row r="152" spans="2:5" hidden="1">
      <c r="B152" s="10" t="str">
        <v>TRX0087</v>
      </c>
      <c r="C152" s="10" t="str">
        <v>Betty Campbell</v>
      </c>
      <c r="D152" s="38">
        <v>999.96</v>
      </c>
      <c r="E152" s="10" t="str">
        <f t="shared" si="2"/>
        <v>▼</v>
      </c>
    </row>
    <row r="153" spans="2:5" hidden="1">
      <c r="B153" s="10" t="str">
        <v>TRX0241</v>
      </c>
      <c r="C153" s="10" t="str">
        <v>Edward Mitchell</v>
      </c>
      <c r="D153" s="38">
        <v>239.96</v>
      </c>
      <c r="E153" s="10" t="str">
        <f t="shared" si="2"/>
        <v>▼</v>
      </c>
    </row>
    <row r="154" spans="2:5">
      <c r="B154" s="10" t="str">
        <v>TRX0044</v>
      </c>
      <c r="C154" s="10" t="str">
        <v>Edward Mitchell</v>
      </c>
      <c r="D154" s="38">
        <v>4499.95</v>
      </c>
      <c r="E154" s="10" t="str">
        <f t="shared" si="2"/>
        <v>▲</v>
      </c>
    </row>
    <row r="155" spans="2:5" hidden="1">
      <c r="B155" s="10" t="str">
        <v>TRX0160</v>
      </c>
      <c r="C155" s="10" t="str">
        <v>Edward Mitchell</v>
      </c>
      <c r="D155" s="38">
        <v>799.96</v>
      </c>
      <c r="E155" s="10" t="str">
        <f t="shared" si="2"/>
        <v>▼</v>
      </c>
    </row>
    <row r="156" spans="2:5" hidden="1">
      <c r="B156" s="10" t="str">
        <v>TRX0069</v>
      </c>
      <c r="C156" s="10" t="str">
        <v>Edward Mitchell</v>
      </c>
      <c r="D156" s="38">
        <v>179.98</v>
      </c>
      <c r="E156" s="10" t="str">
        <f t="shared" si="2"/>
        <v>▼</v>
      </c>
    </row>
    <row r="157" spans="2:5">
      <c r="B157" s="10" t="str">
        <v>TRX0179</v>
      </c>
      <c r="C157" s="10" t="str">
        <v>Edward Mitchell</v>
      </c>
      <c r="D157" s="38">
        <v>3499.95</v>
      </c>
      <c r="E157" s="10" t="str">
        <f t="shared" si="2"/>
        <v>▲</v>
      </c>
    </row>
    <row r="158" spans="2:5" hidden="1">
      <c r="B158" s="10" t="str">
        <v>TRX0144</v>
      </c>
      <c r="C158" s="10" t="str">
        <v>Edward Mitchell</v>
      </c>
      <c r="D158" s="38">
        <v>2699.97</v>
      </c>
      <c r="E158" s="10" t="str">
        <f t="shared" si="2"/>
        <v>▼</v>
      </c>
    </row>
    <row r="159" spans="2:5" hidden="1">
      <c r="B159" s="10" t="str">
        <v>TRX0063</v>
      </c>
      <c r="C159" s="10" t="str">
        <v>Helen Roberts</v>
      </c>
      <c r="D159" s="38">
        <v>119.98</v>
      </c>
      <c r="E159" s="10" t="str">
        <f t="shared" si="2"/>
        <v>▼</v>
      </c>
    </row>
    <row r="160" spans="2:5" hidden="1">
      <c r="B160" s="10" t="str">
        <v>TRX0127</v>
      </c>
      <c r="C160" s="10" t="str">
        <v>Helen Roberts</v>
      </c>
      <c r="D160" s="38">
        <v>149.99</v>
      </c>
      <c r="E160" s="10" t="str">
        <f t="shared" si="2"/>
        <v>▼</v>
      </c>
    </row>
    <row r="161" spans="2:5">
      <c r="B161" s="10" t="str">
        <v>TRX0249</v>
      </c>
      <c r="C161" s="10" t="str">
        <v>Helen Roberts</v>
      </c>
      <c r="D161" s="38">
        <v>3599.96</v>
      </c>
      <c r="E161" s="10" t="str">
        <f t="shared" si="2"/>
        <v>▲</v>
      </c>
    </row>
    <row r="162" spans="2:5" hidden="1">
      <c r="B162" s="10" t="str">
        <v>TRX0198</v>
      </c>
      <c r="C162" s="10" t="str">
        <v>Helen Roberts</v>
      </c>
      <c r="D162" s="38">
        <v>239.97</v>
      </c>
      <c r="E162" s="10" t="str">
        <f t="shared" si="2"/>
        <v>▼</v>
      </c>
    </row>
    <row r="163" spans="2:5" hidden="1">
      <c r="B163" s="10" t="str">
        <v>TRX0165</v>
      </c>
      <c r="C163" s="10" t="str">
        <v>Helen Roberts</v>
      </c>
      <c r="D163" s="38">
        <v>799.96</v>
      </c>
      <c r="E163" s="10" t="str">
        <f t="shared" si="2"/>
        <v>▼</v>
      </c>
    </row>
    <row r="164" spans="2:5" hidden="1">
      <c r="B164" s="10" t="str">
        <v>TRX0107</v>
      </c>
      <c r="C164" s="10" t="str">
        <v>Helen Roberts</v>
      </c>
      <c r="D164" s="38">
        <v>299.98</v>
      </c>
      <c r="E164" s="10" t="str">
        <f t="shared" si="2"/>
        <v>▼</v>
      </c>
    </row>
    <row r="165" spans="2:5" hidden="1">
      <c r="B165" s="10" t="str">
        <v>TRX0175</v>
      </c>
      <c r="C165" s="10" t="str">
        <v>Helen Roberts</v>
      </c>
      <c r="D165" s="38">
        <v>1249.95</v>
      </c>
      <c r="E165" s="10" t="str">
        <f t="shared" si="2"/>
        <v>▼</v>
      </c>
    </row>
    <row r="166" spans="2:5" hidden="1">
      <c r="B166" s="10" t="str">
        <v>TRX0245</v>
      </c>
      <c r="C166" s="10" t="str">
        <v>Steven Turner</v>
      </c>
      <c r="D166" s="38">
        <v>599.97</v>
      </c>
      <c r="E166" s="10" t="str">
        <f t="shared" si="2"/>
        <v>▼</v>
      </c>
    </row>
    <row r="167" spans="2:5" hidden="1">
      <c r="B167" s="10" t="str">
        <v>TRX0100</v>
      </c>
      <c r="C167" s="10" t="str">
        <v>Steven Turner</v>
      </c>
      <c r="D167" s="38">
        <v>179.97</v>
      </c>
      <c r="E167" s="10" t="str">
        <f t="shared" si="2"/>
        <v>▼</v>
      </c>
    </row>
    <row r="168" spans="2:5" hidden="1">
      <c r="B168" s="10" t="str">
        <v>TRX0224</v>
      </c>
      <c r="C168" s="10" t="str">
        <v>Steven Turner</v>
      </c>
      <c r="D168" s="38">
        <v>599.98</v>
      </c>
      <c r="E168" s="10" t="str">
        <f t="shared" si="2"/>
        <v>▼</v>
      </c>
    </row>
    <row r="169" spans="2:5" hidden="1">
      <c r="B169" s="10" t="str">
        <v>TRX0084</v>
      </c>
      <c r="C169" s="10" t="str">
        <v>Steven Turner</v>
      </c>
      <c r="D169" s="38">
        <v>599.96</v>
      </c>
      <c r="E169" s="10" t="str">
        <f t="shared" si="2"/>
        <v>▼</v>
      </c>
    </row>
    <row r="170" spans="2:5" hidden="1">
      <c r="B170" s="10" t="str">
        <v>TRX0182</v>
      </c>
      <c r="C170" s="10" t="str">
        <v>Steven Turner</v>
      </c>
      <c r="D170" s="38">
        <v>399.98</v>
      </c>
      <c r="E170" s="10" t="str">
        <f t="shared" si="2"/>
        <v>▼</v>
      </c>
    </row>
    <row r="171" spans="2:5" hidden="1">
      <c r="B171" s="10" t="str">
        <v>TRX0064</v>
      </c>
      <c r="C171" s="10" t="str">
        <v>Steven Turner</v>
      </c>
      <c r="D171" s="38">
        <v>269.97000000000003</v>
      </c>
      <c r="E171" s="10" t="str">
        <f t="shared" si="2"/>
        <v>▼</v>
      </c>
    </row>
    <row r="172" spans="2:5" hidden="1">
      <c r="B172" s="10" t="str">
        <v>TRX0248</v>
      </c>
      <c r="C172" s="10" t="str">
        <v>Sandra Phillips</v>
      </c>
      <c r="D172" s="38">
        <v>1399.98</v>
      </c>
      <c r="E172" s="10" t="str">
        <f t="shared" si="2"/>
        <v>▼</v>
      </c>
    </row>
    <row r="173" spans="2:5" hidden="1">
      <c r="B173" s="10" t="str">
        <v>TRX0177</v>
      </c>
      <c r="C173" s="10" t="str">
        <v>Sandra Phillips</v>
      </c>
      <c r="D173" s="38">
        <v>2699.97</v>
      </c>
      <c r="E173" s="10" t="str">
        <f t="shared" si="2"/>
        <v>▼</v>
      </c>
    </row>
    <row r="174" spans="2:5" hidden="1">
      <c r="B174" s="10" t="str">
        <v>TRX0203</v>
      </c>
      <c r="C174" s="10" t="str">
        <v>Sandra Phillips</v>
      </c>
      <c r="D174" s="38">
        <v>599.96</v>
      </c>
      <c r="E174" s="10" t="str">
        <f t="shared" si="2"/>
        <v>▼</v>
      </c>
    </row>
    <row r="175" spans="2:5" hidden="1">
      <c r="B175" s="10" t="str">
        <v>TRX0073</v>
      </c>
      <c r="C175" s="10" t="str">
        <v>Sandra Phillips</v>
      </c>
      <c r="D175" s="38">
        <v>749.95</v>
      </c>
      <c r="E175" s="10" t="str">
        <f t="shared" si="2"/>
        <v>▼</v>
      </c>
    </row>
    <row r="176" spans="2:5" hidden="1">
      <c r="B176" s="10" t="str">
        <v>TRX0051</v>
      </c>
      <c r="C176" s="10" t="str">
        <v>Sandra Phillips</v>
      </c>
      <c r="D176" s="38">
        <v>899.97</v>
      </c>
      <c r="E176" s="10" t="str">
        <f t="shared" si="2"/>
        <v>▼</v>
      </c>
    </row>
    <row r="177" spans="2:5" hidden="1">
      <c r="B177" s="10" t="str">
        <v>TRX0141</v>
      </c>
      <c r="C177" s="10" t="str">
        <v>Frank Torres</v>
      </c>
      <c r="D177" s="38">
        <v>299.99</v>
      </c>
      <c r="E177" s="10" t="str">
        <f t="shared" si="2"/>
        <v>▼</v>
      </c>
    </row>
    <row r="178" spans="2:5" hidden="1">
      <c r="B178" s="10" t="str">
        <v>TRX0097</v>
      </c>
      <c r="C178" s="10" t="str">
        <v>Frank Torres</v>
      </c>
      <c r="D178" s="38">
        <v>399.98</v>
      </c>
      <c r="E178" s="10" t="str">
        <f t="shared" si="2"/>
        <v>▼</v>
      </c>
    </row>
    <row r="179" spans="2:5" hidden="1">
      <c r="B179" s="10" t="str">
        <v>TRX0145</v>
      </c>
      <c r="C179" s="10" t="str">
        <v>Frank Torres</v>
      </c>
      <c r="D179" s="38">
        <v>59.99</v>
      </c>
      <c r="E179" s="10" t="str">
        <f t="shared" si="2"/>
        <v>▼</v>
      </c>
    </row>
    <row r="180" spans="2:5" hidden="1">
      <c r="B180" s="10" t="str">
        <v>TRX0221</v>
      </c>
      <c r="C180" s="10" t="str">
        <v>Frank Torres</v>
      </c>
      <c r="D180" s="38">
        <v>599.97</v>
      </c>
      <c r="E180" s="10" t="str">
        <f t="shared" si="2"/>
        <v>▼</v>
      </c>
    </row>
    <row r="181" spans="2:5" hidden="1">
      <c r="B181" s="10" t="str">
        <v>TRX0014</v>
      </c>
      <c r="C181" s="10" t="str">
        <v>Frank Torres</v>
      </c>
      <c r="D181" s="38">
        <v>119.98</v>
      </c>
      <c r="E181" s="10" t="str">
        <f t="shared" si="2"/>
        <v>▼</v>
      </c>
    </row>
    <row r="182" spans="2:5" hidden="1">
      <c r="B182" s="10" t="str">
        <v>TRX0170</v>
      </c>
      <c r="C182" s="10" t="str">
        <v>Carol Evans</v>
      </c>
      <c r="D182" s="38">
        <v>449.97</v>
      </c>
      <c r="E182" s="10" t="str">
        <f t="shared" si="2"/>
        <v>▼</v>
      </c>
    </row>
    <row r="183" spans="2:5" hidden="1">
      <c r="B183" s="10" t="str">
        <v>TRX0099</v>
      </c>
      <c r="C183" s="10" t="str">
        <v>Carol Evans</v>
      </c>
      <c r="D183" s="38">
        <v>249.99</v>
      </c>
      <c r="E183" s="10" t="str">
        <f t="shared" si="2"/>
        <v>▼</v>
      </c>
    </row>
    <row r="184" spans="2:5" hidden="1">
      <c r="B184" s="10" t="str">
        <v>TRX0218</v>
      </c>
      <c r="C184" s="10" t="str">
        <v>Carol Evans</v>
      </c>
      <c r="D184" s="38">
        <v>449.97</v>
      </c>
      <c r="E184" s="10" t="str">
        <f t="shared" si="2"/>
        <v>▼</v>
      </c>
    </row>
    <row r="185" spans="2:5" hidden="1">
      <c r="B185" s="10" t="str">
        <v>TRX0202</v>
      </c>
      <c r="C185" s="10" t="str">
        <v>Harry Morgan</v>
      </c>
      <c r="D185" s="38">
        <v>269.97000000000003</v>
      </c>
      <c r="E185" s="10" t="str">
        <f t="shared" si="2"/>
        <v>▼</v>
      </c>
    </row>
    <row r="186" spans="2:5" hidden="1">
      <c r="B186" s="10" t="str">
        <v>TRX0037</v>
      </c>
      <c r="C186" s="10" t="str">
        <v>Harry Morgan</v>
      </c>
      <c r="D186" s="38">
        <v>499.98</v>
      </c>
      <c r="E186" s="10" t="str">
        <f t="shared" si="2"/>
        <v>▼</v>
      </c>
    </row>
    <row r="187" spans="2:5">
      <c r="B187" s="10" t="str">
        <v>TRX0016</v>
      </c>
      <c r="C187" s="10" t="str">
        <v>Harry Morgan</v>
      </c>
      <c r="D187" s="38">
        <v>4499.95</v>
      </c>
      <c r="E187" s="10" t="str">
        <f t="shared" si="2"/>
        <v>▲</v>
      </c>
    </row>
    <row r="188" spans="2:5" hidden="1">
      <c r="B188" s="10" t="str">
        <v>TRX0038</v>
      </c>
      <c r="C188" s="10" t="str">
        <v>Harry Morgan</v>
      </c>
      <c r="D188" s="38">
        <v>249.99</v>
      </c>
      <c r="E188" s="10" t="str">
        <f t="shared" si="2"/>
        <v>▼</v>
      </c>
    </row>
    <row r="189" spans="2:5" hidden="1">
      <c r="B189" s="10" t="str">
        <v>TRX0071</v>
      </c>
      <c r="C189" s="10" t="str">
        <v>Nancy Collins</v>
      </c>
      <c r="D189" s="38">
        <v>1249.95</v>
      </c>
      <c r="E189" s="10" t="str">
        <f t="shared" si="2"/>
        <v>▼</v>
      </c>
    </row>
    <row r="190" spans="2:5" hidden="1">
      <c r="B190" s="10" t="str">
        <v>TRX0031</v>
      </c>
      <c r="C190" s="10" t="str">
        <v>Nancy Collins</v>
      </c>
      <c r="D190" s="38">
        <v>449.97</v>
      </c>
      <c r="E190" s="10" t="str">
        <f t="shared" si="2"/>
        <v>▼</v>
      </c>
    </row>
    <row r="191" spans="2:5" hidden="1">
      <c r="B191" s="10" t="str">
        <v>TRX0180</v>
      </c>
      <c r="C191" s="10" t="str">
        <v>Nancy Collins</v>
      </c>
      <c r="D191" s="38">
        <v>499.98</v>
      </c>
      <c r="E191" s="10" t="str">
        <f t="shared" si="2"/>
        <v>▼</v>
      </c>
    </row>
    <row r="192" spans="2:5" hidden="1">
      <c r="B192" s="10" t="str">
        <v>TRX0147</v>
      </c>
      <c r="C192" s="10" t="str">
        <v>Nancy Collins</v>
      </c>
      <c r="D192" s="38">
        <v>749.95</v>
      </c>
      <c r="E192" s="10" t="str">
        <f t="shared" si="2"/>
        <v>▼</v>
      </c>
    </row>
    <row r="193" spans="2:5" hidden="1">
      <c r="B193" s="10" t="str">
        <v>TRX0223</v>
      </c>
      <c r="C193" s="10" t="str">
        <v>Nancy Collins</v>
      </c>
      <c r="D193" s="38">
        <v>999.95</v>
      </c>
      <c r="E193" s="10" t="str">
        <f t="shared" si="2"/>
        <v>▼</v>
      </c>
    </row>
    <row r="194" spans="2:5" hidden="1">
      <c r="B194" s="10" t="str">
        <v>TRX0187</v>
      </c>
      <c r="C194" s="10" t="str">
        <v>Nancy Collins</v>
      </c>
      <c r="D194" s="38">
        <v>239.97</v>
      </c>
      <c r="E194" s="10" t="str">
        <f t="shared" si="2"/>
        <v>▼</v>
      </c>
    </row>
    <row r="195" spans="2:5" hidden="1">
      <c r="B195" s="10" t="str">
        <v>TRX0026</v>
      </c>
      <c r="C195" s="10" t="str">
        <v>Arthur Edwards</v>
      </c>
      <c r="D195" s="38">
        <v>899.99</v>
      </c>
      <c r="E195" s="10" t="str">
        <f t="shared" si="2"/>
        <v>▼</v>
      </c>
    </row>
    <row r="196" spans="2:5" hidden="1">
      <c r="B196" s="10" t="str">
        <v>TRX0219</v>
      </c>
      <c r="C196" s="10" t="str">
        <v>Arthur Edwards</v>
      </c>
      <c r="D196" s="38">
        <v>59.99</v>
      </c>
      <c r="E196" s="10" t="str">
        <f t="shared" si="2"/>
        <v>▼</v>
      </c>
    </row>
    <row r="197" spans="2:5" hidden="1">
      <c r="B197" s="10" t="str">
        <v>TRX0200</v>
      </c>
      <c r="C197" s="10" t="str">
        <v>Arthur Edwards</v>
      </c>
      <c r="D197" s="38">
        <v>599.96</v>
      </c>
      <c r="E197" s="10" t="str">
        <f t="shared" ref="E197:E253" si="3">IF(D197&gt;3000,"▲",IF(D197=1500,"►","▼"))</f>
        <v>▼</v>
      </c>
    </row>
    <row r="198" spans="2:5" hidden="1">
      <c r="B198" s="10" t="str">
        <v>TRX0191</v>
      </c>
      <c r="C198" s="10" t="str">
        <v>Michelle Rogers</v>
      </c>
      <c r="D198" s="38">
        <v>2099.9699999999998</v>
      </c>
      <c r="E198" s="10" t="str">
        <f t="shared" si="3"/>
        <v>▼</v>
      </c>
    </row>
    <row r="199" spans="2:5" hidden="1">
      <c r="B199" s="10" t="str">
        <v>TRX0238</v>
      </c>
      <c r="C199" s="10" t="str">
        <v>Michelle Rogers</v>
      </c>
      <c r="D199" s="38">
        <v>2099.9699999999998</v>
      </c>
      <c r="E199" s="10" t="str">
        <f t="shared" si="3"/>
        <v>▼</v>
      </c>
    </row>
    <row r="200" spans="2:5" hidden="1">
      <c r="B200" s="10" t="str">
        <v>TRX0001</v>
      </c>
      <c r="C200" s="10" t="str">
        <v>Lawrence Reed</v>
      </c>
      <c r="D200" s="38">
        <v>239.97</v>
      </c>
      <c r="E200" s="10" t="str">
        <f t="shared" si="3"/>
        <v>▼</v>
      </c>
    </row>
    <row r="201" spans="2:5" hidden="1">
      <c r="B201" s="10" t="str">
        <v>TRX0225</v>
      </c>
      <c r="C201" s="10" t="str">
        <v>Lawrence Reed</v>
      </c>
      <c r="D201" s="38">
        <v>1399.98</v>
      </c>
      <c r="E201" s="10" t="str">
        <f t="shared" si="3"/>
        <v>▼</v>
      </c>
    </row>
    <row r="202" spans="2:5" hidden="1">
      <c r="B202" s="10" t="str">
        <v>TRX0190</v>
      </c>
      <c r="C202" s="10" t="str">
        <v>Lawrence Reed</v>
      </c>
      <c r="D202" s="38">
        <v>299.98</v>
      </c>
      <c r="E202" s="10" t="str">
        <f t="shared" si="3"/>
        <v>▼</v>
      </c>
    </row>
    <row r="203" spans="2:5" hidden="1">
      <c r="B203" s="10" t="str">
        <v>TRX0079</v>
      </c>
      <c r="C203" s="10" t="str">
        <v>Lawrence Reed</v>
      </c>
      <c r="D203" s="38">
        <v>269.97000000000003</v>
      </c>
      <c r="E203" s="10" t="str">
        <f t="shared" si="3"/>
        <v>▼</v>
      </c>
    </row>
    <row r="204" spans="2:5" hidden="1">
      <c r="B204" s="10" t="str">
        <v>TRX0106</v>
      </c>
      <c r="C204" s="10" t="str">
        <v>Lawrence Reed</v>
      </c>
      <c r="D204" s="38">
        <v>799.96</v>
      </c>
      <c r="E204" s="10" t="str">
        <f t="shared" si="3"/>
        <v>▼</v>
      </c>
    </row>
    <row r="205" spans="2:5">
      <c r="B205" s="10" t="str">
        <v>TRX0226</v>
      </c>
      <c r="C205" s="10" t="str">
        <v>Lawrence Reed</v>
      </c>
      <c r="D205" s="38">
        <v>3499.95</v>
      </c>
      <c r="E205" s="10" t="str">
        <f t="shared" si="3"/>
        <v>▲</v>
      </c>
    </row>
    <row r="206" spans="2:5" hidden="1">
      <c r="B206" s="10" t="str">
        <v>TRX0186</v>
      </c>
      <c r="C206" s="10" t="str">
        <v>Lawrence Reed</v>
      </c>
      <c r="D206" s="38">
        <v>299.98</v>
      </c>
      <c r="E206" s="10" t="str">
        <f t="shared" si="3"/>
        <v>▼</v>
      </c>
    </row>
    <row r="207" spans="2:5" hidden="1">
      <c r="B207" s="10" t="str">
        <v>TRX0103</v>
      </c>
      <c r="C207" s="10" t="str">
        <v>Lawrence Reed</v>
      </c>
      <c r="D207" s="38">
        <v>179.98</v>
      </c>
      <c r="E207" s="10" t="str">
        <f t="shared" si="3"/>
        <v>▼</v>
      </c>
    </row>
    <row r="208" spans="2:5" hidden="1">
      <c r="B208" s="10" t="str">
        <v>TRX0128</v>
      </c>
      <c r="C208" s="10" t="str">
        <v>Sharon Butler</v>
      </c>
      <c r="D208" s="38">
        <v>119.98</v>
      </c>
      <c r="E208" s="10" t="str">
        <f t="shared" si="3"/>
        <v>▼</v>
      </c>
    </row>
    <row r="209" spans="2:5" hidden="1">
      <c r="B209" s="10" t="str">
        <v>TRX0162</v>
      </c>
      <c r="C209" s="10" t="str">
        <v>Sharon Butler</v>
      </c>
      <c r="D209" s="38">
        <v>899.99</v>
      </c>
      <c r="E209" s="10" t="str">
        <f t="shared" si="3"/>
        <v>▼</v>
      </c>
    </row>
    <row r="210" spans="2:5" hidden="1">
      <c r="B210" s="10" t="str">
        <v>TRX0189</v>
      </c>
      <c r="C210" s="10" t="str">
        <v>Sharon Butler</v>
      </c>
      <c r="D210" s="38">
        <v>899.99</v>
      </c>
      <c r="E210" s="10" t="str">
        <f t="shared" si="3"/>
        <v>▼</v>
      </c>
    </row>
    <row r="211" spans="2:5" hidden="1">
      <c r="B211" s="10" t="str">
        <v>TRX0011</v>
      </c>
      <c r="C211" s="10" t="str">
        <v>Sharon Butler</v>
      </c>
      <c r="D211" s="38">
        <v>299.95</v>
      </c>
      <c r="E211" s="10" t="str">
        <f t="shared" si="3"/>
        <v>▼</v>
      </c>
    </row>
    <row r="212" spans="2:5" hidden="1">
      <c r="B212" s="10" t="str">
        <v>TRX0151</v>
      </c>
      <c r="C212" s="10" t="str">
        <v>Sharon Butler</v>
      </c>
      <c r="D212" s="38">
        <v>699.99</v>
      </c>
      <c r="E212" s="10" t="str">
        <f t="shared" si="3"/>
        <v>▼</v>
      </c>
    </row>
    <row r="213" spans="2:5" hidden="1">
      <c r="B213" s="10" t="str">
        <v>TRX0124</v>
      </c>
      <c r="C213" s="10" t="str">
        <v>Sharon Butler</v>
      </c>
      <c r="D213" s="38">
        <v>2699.97</v>
      </c>
      <c r="E213" s="10" t="str">
        <f t="shared" si="3"/>
        <v>▼</v>
      </c>
    </row>
    <row r="214" spans="2:5" hidden="1">
      <c r="B214" s="10" t="str">
        <v>TRX0246</v>
      </c>
      <c r="C214" s="10" t="str">
        <v>Peter Richardson</v>
      </c>
      <c r="D214" s="38">
        <v>449.97</v>
      </c>
      <c r="E214" s="10" t="str">
        <f t="shared" si="3"/>
        <v>▼</v>
      </c>
    </row>
    <row r="215" spans="2:5" hidden="1">
      <c r="B215" s="10" t="str">
        <v>TRX0216</v>
      </c>
      <c r="C215" s="10" t="str">
        <v>Peter Richardson</v>
      </c>
      <c r="D215" s="38">
        <v>449.97</v>
      </c>
      <c r="E215" s="10" t="str">
        <f t="shared" si="3"/>
        <v>▼</v>
      </c>
    </row>
    <row r="216" spans="2:5">
      <c r="B216" s="10" t="str">
        <v>TRX0123</v>
      </c>
      <c r="C216" s="10" t="str">
        <v>Peter Richardson</v>
      </c>
      <c r="D216" s="38">
        <v>2799.96</v>
      </c>
      <c r="E216" s="10" t="str">
        <f t="shared" si="3"/>
        <v>▼</v>
      </c>
    </row>
    <row r="217" spans="2:5" hidden="1">
      <c r="B217" s="10" t="str">
        <v>TRX0035</v>
      </c>
      <c r="C217" s="10" t="str">
        <v>Peter Richardson</v>
      </c>
      <c r="D217" s="38">
        <v>449.97</v>
      </c>
      <c r="E217" s="10" t="str">
        <f t="shared" si="3"/>
        <v>▼</v>
      </c>
    </row>
    <row r="218" spans="2:5" hidden="1">
      <c r="B218" s="10" t="str">
        <v>TRX0032</v>
      </c>
      <c r="C218" s="10" t="str">
        <v>Peter Richardson</v>
      </c>
      <c r="D218" s="38">
        <v>1799.98</v>
      </c>
      <c r="E218" s="10" t="str">
        <f t="shared" si="3"/>
        <v>▼</v>
      </c>
    </row>
    <row r="219" spans="2:5" hidden="1">
      <c r="B219" s="10" t="str">
        <v>TRX0005</v>
      </c>
      <c r="C219" s="10" t="str">
        <v>Ruth Brooks</v>
      </c>
      <c r="D219" s="38">
        <v>599.96</v>
      </c>
      <c r="E219" s="10" t="str">
        <f t="shared" si="3"/>
        <v>▼</v>
      </c>
    </row>
    <row r="220" spans="2:5" hidden="1">
      <c r="B220" s="10" t="str">
        <v>TRX0024</v>
      </c>
      <c r="C220" s="10" t="str">
        <v>Ruth Brooks</v>
      </c>
      <c r="D220" s="38">
        <v>449.97</v>
      </c>
      <c r="E220" s="10" t="str">
        <f t="shared" si="3"/>
        <v>▼</v>
      </c>
    </row>
    <row r="221" spans="2:5" hidden="1">
      <c r="B221" s="10" t="str">
        <v>TRX0047</v>
      </c>
      <c r="C221" s="10" t="str">
        <v>Ruth Brooks</v>
      </c>
      <c r="D221" s="38">
        <v>699.99</v>
      </c>
      <c r="E221" s="10" t="str">
        <f t="shared" si="3"/>
        <v>▼</v>
      </c>
    </row>
    <row r="222" spans="2:5" hidden="1">
      <c r="B222" s="10" t="str">
        <v>TRX0067</v>
      </c>
      <c r="C222" s="10" t="str">
        <v>Dennis Gray</v>
      </c>
      <c r="D222" s="38">
        <v>179.97</v>
      </c>
      <c r="E222" s="10" t="str">
        <f t="shared" si="3"/>
        <v>▼</v>
      </c>
    </row>
    <row r="223" spans="2:5" hidden="1">
      <c r="B223" s="10" t="str">
        <v>TRX0053</v>
      </c>
      <c r="C223" s="10" t="str">
        <v>Dennis Gray</v>
      </c>
      <c r="D223" s="38">
        <v>299.95</v>
      </c>
      <c r="E223" s="10" t="str">
        <f t="shared" si="3"/>
        <v>▼</v>
      </c>
    </row>
    <row r="224" spans="2:5" hidden="1">
      <c r="B224" s="10" t="str">
        <v>TRX0204</v>
      </c>
      <c r="C224" s="10" t="str">
        <v>Cynthia Price</v>
      </c>
      <c r="D224" s="38">
        <v>999.96</v>
      </c>
      <c r="E224" s="10" t="str">
        <f t="shared" si="3"/>
        <v>▼</v>
      </c>
    </row>
    <row r="225" spans="2:5" hidden="1">
      <c r="B225" s="10" t="str">
        <v>TRX0176</v>
      </c>
      <c r="C225" s="10" t="str">
        <v>Cynthia Price</v>
      </c>
      <c r="D225" s="38">
        <v>299.98</v>
      </c>
      <c r="E225" s="10" t="str">
        <f t="shared" si="3"/>
        <v>▼</v>
      </c>
    </row>
    <row r="226" spans="2:5" hidden="1">
      <c r="B226" s="10" t="str">
        <v>TRX0236</v>
      </c>
      <c r="C226" s="10" t="str">
        <v>Cynthia Price</v>
      </c>
      <c r="D226" s="38">
        <v>749.95</v>
      </c>
      <c r="E226" s="10" t="str">
        <f t="shared" si="3"/>
        <v>▼</v>
      </c>
    </row>
    <row r="227" spans="2:5" hidden="1">
      <c r="B227" s="10" t="str">
        <v>TRX0152</v>
      </c>
      <c r="C227" s="10" t="str">
        <v>Cynthia Price</v>
      </c>
      <c r="D227" s="38">
        <v>319.95999999999998</v>
      </c>
      <c r="E227" s="10" t="str">
        <f t="shared" si="3"/>
        <v>▼</v>
      </c>
    </row>
    <row r="228" spans="2:5" hidden="1">
      <c r="B228" s="10" t="str">
        <v>TRX0068</v>
      </c>
      <c r="C228" s="10" t="str">
        <v>Cynthia Price</v>
      </c>
      <c r="D228" s="38">
        <v>1399.98</v>
      </c>
      <c r="E228" s="10" t="str">
        <f t="shared" si="3"/>
        <v>▼</v>
      </c>
    </row>
    <row r="229" spans="2:5" hidden="1">
      <c r="B229" s="10" t="str">
        <v>TRX0012</v>
      </c>
      <c r="C229" s="10" t="str">
        <v>Douglas Watson</v>
      </c>
      <c r="D229" s="38">
        <v>1249.95</v>
      </c>
      <c r="E229" s="10" t="str">
        <f t="shared" si="3"/>
        <v>▼</v>
      </c>
    </row>
    <row r="230" spans="2:5" hidden="1">
      <c r="B230" s="10" t="str">
        <v>TRX0102</v>
      </c>
      <c r="C230" s="10" t="str">
        <v>Douglas Watson</v>
      </c>
      <c r="D230" s="38">
        <v>79.989999999999995</v>
      </c>
      <c r="E230" s="10" t="str">
        <f t="shared" si="3"/>
        <v>▼</v>
      </c>
    </row>
    <row r="231" spans="2:5" hidden="1">
      <c r="B231" s="10" t="str">
        <v>TRX0188</v>
      </c>
      <c r="C231" s="10" t="str">
        <v>Douglas Watson</v>
      </c>
      <c r="D231" s="38">
        <v>1399.98</v>
      </c>
      <c r="E231" s="10" t="str">
        <f t="shared" si="3"/>
        <v>▼</v>
      </c>
    </row>
    <row r="232" spans="2:5" hidden="1">
      <c r="B232" s="10" t="str">
        <v>TRX0120</v>
      </c>
      <c r="C232" s="10" t="str">
        <v>Douglas Watson</v>
      </c>
      <c r="D232" s="38">
        <v>2099.9699999999998</v>
      </c>
      <c r="E232" s="10" t="str">
        <f t="shared" si="3"/>
        <v>▼</v>
      </c>
    </row>
    <row r="233" spans="2:5" hidden="1">
      <c r="B233" s="10" t="str">
        <v>TRX0043</v>
      </c>
      <c r="C233" s="10" t="str">
        <v>Kathleen Bennett</v>
      </c>
      <c r="D233" s="38">
        <v>179.97</v>
      </c>
      <c r="E233" s="10" t="str">
        <f t="shared" si="3"/>
        <v>▼</v>
      </c>
    </row>
    <row r="234" spans="2:5" hidden="1">
      <c r="B234" s="10" t="str">
        <v>TRX0209</v>
      </c>
      <c r="C234" s="10" t="str">
        <v>Kathleen Bennett</v>
      </c>
      <c r="D234" s="38">
        <v>749.95</v>
      </c>
      <c r="E234" s="10" t="str">
        <f t="shared" si="3"/>
        <v>▼</v>
      </c>
    </row>
    <row r="235" spans="2:5" hidden="1">
      <c r="B235" s="10" t="str">
        <v>TRX0184</v>
      </c>
      <c r="C235" s="10" t="str">
        <v>Kathleen Bennett</v>
      </c>
      <c r="D235" s="38">
        <v>2099.9699999999998</v>
      </c>
      <c r="E235" s="10" t="str">
        <f t="shared" si="3"/>
        <v>▼</v>
      </c>
    </row>
    <row r="236" spans="2:5" hidden="1">
      <c r="B236" s="10" t="str">
        <v>TRX0247</v>
      </c>
      <c r="C236" s="10" t="str">
        <v>Kathleen Bennett</v>
      </c>
      <c r="D236" s="38">
        <v>799.96</v>
      </c>
      <c r="E236" s="10" t="str">
        <f t="shared" si="3"/>
        <v>▼</v>
      </c>
    </row>
    <row r="237" spans="2:5" hidden="1">
      <c r="B237" s="10" t="str">
        <v>TRX0211</v>
      </c>
      <c r="C237" s="10" t="str">
        <v>Kathleen Bennett</v>
      </c>
      <c r="D237" s="38">
        <v>179.98</v>
      </c>
      <c r="E237" s="10" t="str">
        <f t="shared" si="3"/>
        <v>▼</v>
      </c>
    </row>
    <row r="238" spans="2:5" hidden="1">
      <c r="B238" s="10" t="str">
        <v>TRX0095</v>
      </c>
      <c r="C238" s="10" t="str">
        <v>Kathleen Bennett</v>
      </c>
      <c r="D238" s="38">
        <v>299.98</v>
      </c>
      <c r="E238" s="10" t="str">
        <f t="shared" si="3"/>
        <v>▼</v>
      </c>
    </row>
    <row r="239" spans="2:5" hidden="1">
      <c r="B239" s="10" t="str">
        <v>TRX0169</v>
      </c>
      <c r="C239" s="10" t="str">
        <v>Gerald Murphy</v>
      </c>
      <c r="D239" s="38">
        <v>179.97</v>
      </c>
      <c r="E239" s="10" t="str">
        <f t="shared" si="3"/>
        <v>▼</v>
      </c>
    </row>
    <row r="240" spans="2:5" hidden="1">
      <c r="B240" s="10" t="str">
        <v>TRX0215</v>
      </c>
      <c r="C240" s="10" t="str">
        <v>Gerald Murphy</v>
      </c>
      <c r="D240" s="38">
        <v>999.96</v>
      </c>
      <c r="E240" s="10" t="str">
        <f t="shared" si="3"/>
        <v>▼</v>
      </c>
    </row>
    <row r="241" spans="2:5">
      <c r="B241" s="10" t="str">
        <v>TRX0132</v>
      </c>
      <c r="C241" s="10" t="str">
        <v>Gerald Murphy</v>
      </c>
      <c r="D241" s="38">
        <v>4499.95</v>
      </c>
      <c r="E241" s="10" t="str">
        <f t="shared" si="3"/>
        <v>▲</v>
      </c>
    </row>
    <row r="242" spans="2:5" hidden="1">
      <c r="B242" s="10" t="str">
        <v>TRX0058</v>
      </c>
      <c r="C242" s="10" t="str">
        <v>Gerald Murphy</v>
      </c>
      <c r="D242" s="38">
        <v>699.99</v>
      </c>
      <c r="E242" s="10" t="str">
        <f t="shared" si="3"/>
        <v>▼</v>
      </c>
    </row>
    <row r="243" spans="2:5" hidden="1">
      <c r="B243" s="10" t="str">
        <v>TRX0222</v>
      </c>
      <c r="C243" s="10" t="str">
        <v>Virginia Sanders</v>
      </c>
      <c r="D243" s="38">
        <v>749.97</v>
      </c>
      <c r="E243" s="10" t="str">
        <f t="shared" si="3"/>
        <v>▼</v>
      </c>
    </row>
    <row r="244" spans="2:5" hidden="1">
      <c r="B244" s="10" t="str">
        <v>TRX0243</v>
      </c>
      <c r="C244" s="10" t="str">
        <v>Virginia Sanders</v>
      </c>
      <c r="D244" s="38">
        <v>1249.95</v>
      </c>
      <c r="E244" s="10" t="str">
        <f t="shared" si="3"/>
        <v>▼</v>
      </c>
    </row>
    <row r="245" spans="2:5" hidden="1">
      <c r="B245" s="10" t="str">
        <v>TRX0105</v>
      </c>
      <c r="C245" s="10" t="str">
        <v>Virginia Sanders</v>
      </c>
      <c r="D245" s="38">
        <v>1499.95</v>
      </c>
      <c r="E245" s="10" t="str">
        <f t="shared" si="3"/>
        <v>▼</v>
      </c>
    </row>
    <row r="246" spans="2:5" hidden="1">
      <c r="B246" s="10" t="str">
        <v>TRX0048</v>
      </c>
      <c r="C246" s="10" t="str">
        <v>Virginia Sanders</v>
      </c>
      <c r="D246" s="38">
        <v>599.98</v>
      </c>
      <c r="E246" s="10" t="str">
        <f t="shared" si="3"/>
        <v>▼</v>
      </c>
    </row>
    <row r="247" spans="2:5" hidden="1">
      <c r="B247" s="10" t="str">
        <v>TRX0197</v>
      </c>
      <c r="C247" s="10" t="str">
        <v>Virginia Sanders</v>
      </c>
      <c r="D247" s="38">
        <v>449.97</v>
      </c>
      <c r="E247" s="10" t="str">
        <f t="shared" si="3"/>
        <v>▼</v>
      </c>
    </row>
    <row r="248" spans="2:5" hidden="1">
      <c r="B248" s="10" t="str">
        <v>TRX0039</v>
      </c>
      <c r="C248" s="10" t="str">
        <v>Virginia Sanders</v>
      </c>
      <c r="D248" s="38">
        <v>239.97</v>
      </c>
      <c r="E248" s="10" t="str">
        <f t="shared" si="3"/>
        <v>▼</v>
      </c>
    </row>
    <row r="249" spans="2:5" hidden="1">
      <c r="B249" s="10" t="str">
        <v>TRX0025</v>
      </c>
      <c r="C249" s="10" t="str">
        <v>Raymond Ross</v>
      </c>
      <c r="D249" s="38">
        <v>359.96</v>
      </c>
      <c r="E249" s="10" t="str">
        <f t="shared" si="3"/>
        <v>▼</v>
      </c>
    </row>
    <row r="250" spans="2:5" hidden="1">
      <c r="B250" s="10" t="str">
        <v>TRX0136</v>
      </c>
      <c r="C250" s="10" t="str">
        <v>Raymond Ross</v>
      </c>
      <c r="D250" s="38">
        <v>239.96</v>
      </c>
      <c r="E250" s="10" t="str">
        <f t="shared" si="3"/>
        <v>▼</v>
      </c>
    </row>
    <row r="251" spans="2:5">
      <c r="B251" s="10" t="str">
        <v>TRX0034</v>
      </c>
      <c r="C251" s="10" t="str">
        <v>Raymond Ross</v>
      </c>
      <c r="D251" s="38">
        <v>2799.96</v>
      </c>
      <c r="E251" s="10" t="str">
        <f t="shared" si="3"/>
        <v>▼</v>
      </c>
    </row>
    <row r="252" spans="2:5" hidden="1">
      <c r="B252" s="10" t="str">
        <v>TRX0153</v>
      </c>
      <c r="C252" s="10" t="str">
        <v>Raymond Ross</v>
      </c>
      <c r="D252" s="38">
        <v>269.97000000000003</v>
      </c>
      <c r="E252" s="10" t="str">
        <f t="shared" si="3"/>
        <v>▼</v>
      </c>
    </row>
    <row r="253" spans="2:5" hidden="1">
      <c r="B253" s="10" t="str">
        <v>TRX0093</v>
      </c>
      <c r="C253" s="10" t="str">
        <v>Julie Foster</v>
      </c>
      <c r="D253" s="38">
        <v>239.96</v>
      </c>
      <c r="E253" s="10" t="str">
        <f t="shared" si="3"/>
        <v>▼</v>
      </c>
    </row>
  </sheetData>
  <autoFilter ref="B3:E253">
    <filterColumn colId="2">
      <top10 val="20" filterVal="2799.96"/>
    </filterColumn>
  </autoFilter>
  <mergeCells count="1">
    <mergeCell ref="B2:E2"/>
  </mergeCells>
  <pageMargins left="0.7" right="0.7" top="0.75" bottom="0.75" header="0.3" footer="0.3"/>
  <pageSetup paperSize="256" orientation="portrait" horizontalDpi="203" verticalDpi="20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zoomScale="96" workbookViewId="0">
      <selection activeCell="H10" sqref="H10"/>
    </sheetView>
  </sheetViews>
  <sheetFormatPr defaultRowHeight="14"/>
  <cols>
    <col min="1" max="1" width="34.6640625" bestFit="1" customWidth="1"/>
    <col min="2" max="2" width="13" bestFit="1" customWidth="1"/>
  </cols>
  <sheetData>
    <row r="1" spans="1:2">
      <c r="A1" s="95" t="s">
        <v>459</v>
      </c>
      <c r="B1" s="95"/>
    </row>
    <row r="3" spans="1:2">
      <c r="A3" s="60" t="s">
        <v>464</v>
      </c>
    </row>
    <row r="5" spans="1:2">
      <c r="A5" s="61" t="s">
        <v>455</v>
      </c>
      <c r="B5" s="62">
        <f>AVERAGE(Table1[Total_Amount])</f>
        <v>916.76988000000108</v>
      </c>
    </row>
    <row r="7" spans="1:2">
      <c r="A7" s="63" t="s">
        <v>456</v>
      </c>
      <c r="B7" s="65">
        <v>0.15</v>
      </c>
    </row>
    <row r="8" spans="1:2">
      <c r="A8" s="63" t="s">
        <v>457</v>
      </c>
      <c r="B8" s="66">
        <f>B5*(1+B7)</f>
        <v>1054.2853620000012</v>
      </c>
    </row>
    <row r="9" spans="1:2">
      <c r="A9" s="63" t="s">
        <v>458</v>
      </c>
      <c r="B9" s="66">
        <f>B8*COUNTA(Table1[Transaction_ID])</f>
        <v>263571.34050000028</v>
      </c>
    </row>
    <row r="12" spans="1:2">
      <c r="A12" s="60" t="s">
        <v>460</v>
      </c>
    </row>
    <row r="14" spans="1:2">
      <c r="A14" s="63" t="s">
        <v>461</v>
      </c>
      <c r="B14" s="64">
        <v>350000</v>
      </c>
    </row>
    <row r="15" spans="1:2">
      <c r="A15" s="63" t="s">
        <v>462</v>
      </c>
      <c r="B15" s="65">
        <v>380.77519531946189</v>
      </c>
    </row>
    <row r="16" spans="1:2">
      <c r="A16" s="63" t="s">
        <v>463</v>
      </c>
      <c r="B16" s="66">
        <f>B5*(1+B15)</f>
        <v>350000.00000000006</v>
      </c>
    </row>
  </sheetData>
  <scenarios current="0" sqref="B8">
    <scenario name="No Discount" locked="1" count="1" user="ASUS" comment="Created by ASUS on 09-04-2026">
      <inputCells r="B7" val="0" numFmtId="9"/>
    </scenario>
    <scenario name="5% Discount" locked="1" count="1" user="ASUS" comment="Created by ASUS on 09-04-2026">
      <inputCells r="B7" val="0.05" numFmtId="9"/>
    </scenario>
    <scenario name="10% Discount" locked="1" count="1" user="ASUS" comment="Created by ASUS on 09-04-2026">
      <inputCells r="B7" val="0.1" numFmtId="9"/>
    </scenario>
    <scenario name="15% Discount" locked="1" count="1" user="ASUS" comment="Created by ASUS on 09-04-2026">
      <inputCells r="B7" val="0.15" numFmtId="9"/>
    </scenario>
    <scenario name="20% Discount" locked="1" count="1" user="ASUS" comment="Created by ASUS on 09-04-2026">
      <inputCells r="B7" val="0.2" numFmtId="9"/>
    </scenario>
  </scenarios>
  <mergeCells count="1">
    <mergeCell ref="A1:B1"/>
  </mergeCells>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8"/>
  <sheetViews>
    <sheetView workbookViewId="0">
      <selection activeCell="K14" sqref="K14"/>
    </sheetView>
  </sheetViews>
  <sheetFormatPr defaultRowHeight="14"/>
  <cols>
    <col min="2" max="2" width="14.4140625" bestFit="1" customWidth="1"/>
    <col min="3" max="3" width="10.25" customWidth="1"/>
    <col min="7" max="7" width="16.08203125" customWidth="1"/>
    <col min="10" max="10" width="16.4140625" bestFit="1" customWidth="1"/>
    <col min="11" max="11" width="12.6640625" bestFit="1" customWidth="1"/>
    <col min="12" max="12" width="13.25" bestFit="1" customWidth="1"/>
    <col min="13" max="13" width="12.6640625" bestFit="1" customWidth="1"/>
    <col min="14" max="14" width="12" bestFit="1" customWidth="1"/>
    <col min="15" max="15" width="12.75" bestFit="1" customWidth="1"/>
    <col min="16" max="16" width="12" bestFit="1" customWidth="1"/>
    <col min="17" max="17" width="12.6640625" bestFit="1" customWidth="1"/>
    <col min="18" max="19" width="12" bestFit="1" customWidth="1"/>
  </cols>
  <sheetData>
    <row r="2" spans="2:10">
      <c r="B2" s="90" t="s">
        <v>428</v>
      </c>
      <c r="C2" s="90"/>
      <c r="E2" s="90" t="s">
        <v>429</v>
      </c>
      <c r="F2" s="90"/>
      <c r="G2" s="90"/>
    </row>
    <row r="3" spans="2:10">
      <c r="B3" s="11" t="s">
        <v>399</v>
      </c>
      <c r="C3" s="12">
        <f>SLOPE(Table1[Total_Amount],Table1[Quantity])</f>
        <v>353.79300428798899</v>
      </c>
      <c r="E3" s="91" t="s">
        <v>430</v>
      </c>
      <c r="F3" s="91"/>
      <c r="G3" s="15" t="s">
        <v>431</v>
      </c>
    </row>
    <row r="4" spans="2:10">
      <c r="B4" s="11" t="s">
        <v>400</v>
      </c>
      <c r="C4" s="13">
        <f>INTERCEPT(Table1[Total_Amount],Table1[Quantity])</f>
        <v>-148.85464891542176</v>
      </c>
      <c r="E4" s="89">
        <v>1</v>
      </c>
      <c r="F4" s="89"/>
      <c r="G4" s="10">
        <f>C3*E4+C4</f>
        <v>204.93835537256723</v>
      </c>
    </row>
    <row r="5" spans="2:10">
      <c r="B5" s="11" t="s">
        <v>401</v>
      </c>
      <c r="C5" s="14">
        <f>RSQ(Table1[Total_Amount],Table1[Quantity])</f>
        <v>0.20983761707193865</v>
      </c>
      <c r="E5" s="89">
        <v>2</v>
      </c>
      <c r="F5" s="89"/>
      <c r="G5" s="10">
        <f>C3*E5+C4</f>
        <v>558.73135966055622</v>
      </c>
    </row>
    <row r="6" spans="2:10">
      <c r="B6" s="11" t="s">
        <v>402</v>
      </c>
      <c r="C6" s="14">
        <f>CORREL(Table1[Total_Amount],Table1[Quantity])</f>
        <v>0.45808036093237908</v>
      </c>
      <c r="E6" s="89">
        <v>3</v>
      </c>
      <c r="F6" s="89"/>
      <c r="G6" s="10">
        <f>C3*E6+C4</f>
        <v>912.52436394854533</v>
      </c>
    </row>
    <row r="7" spans="2:10">
      <c r="E7" s="89">
        <v>4</v>
      </c>
      <c r="F7" s="89"/>
      <c r="G7" s="10">
        <f>C3*E7+C4</f>
        <v>1266.3173682365341</v>
      </c>
    </row>
    <row r="8" spans="2:10">
      <c r="E8" s="89">
        <v>5</v>
      </c>
      <c r="F8" s="89"/>
      <c r="G8" s="10">
        <f>C3*E8+C4</f>
        <v>1620.110372524523</v>
      </c>
    </row>
    <row r="11" spans="2:10">
      <c r="B11" s="29" t="s">
        <v>403</v>
      </c>
      <c r="C11" s="16"/>
      <c r="D11" s="16"/>
      <c r="E11" s="16"/>
      <c r="F11" s="16"/>
      <c r="G11" s="16"/>
      <c r="H11" s="16"/>
      <c r="I11" s="16"/>
      <c r="J11" s="17"/>
    </row>
    <row r="12" spans="2:10" ht="14.5" thickBot="1">
      <c r="B12" s="18"/>
      <c r="C12" s="19"/>
      <c r="D12" s="19"/>
      <c r="E12" s="19"/>
      <c r="F12" s="19"/>
      <c r="G12" s="19"/>
      <c r="H12" s="19"/>
      <c r="I12" s="19"/>
      <c r="J12" s="20"/>
    </row>
    <row r="13" spans="2:10">
      <c r="B13" s="31" t="s">
        <v>404</v>
      </c>
      <c r="C13" s="30"/>
      <c r="D13" s="19"/>
      <c r="E13" s="19"/>
      <c r="F13" s="19"/>
      <c r="G13" s="19"/>
      <c r="H13" s="19"/>
      <c r="I13" s="19"/>
      <c r="J13" s="20"/>
    </row>
    <row r="14" spans="2:10">
      <c r="B14" s="18" t="s">
        <v>405</v>
      </c>
      <c r="C14" s="19">
        <v>0.45808036093237825</v>
      </c>
      <c r="D14" s="19"/>
      <c r="E14" s="19"/>
      <c r="F14" s="19"/>
      <c r="G14" s="19"/>
      <c r="H14" s="19"/>
      <c r="I14" s="19"/>
      <c r="J14" s="20"/>
    </row>
    <row r="15" spans="2:10">
      <c r="B15" s="18" t="s">
        <v>406</v>
      </c>
      <c r="C15" s="19">
        <v>0.20983761707193793</v>
      </c>
      <c r="D15" s="19"/>
      <c r="E15" s="19"/>
      <c r="F15" s="19"/>
      <c r="G15" s="19"/>
      <c r="H15" s="19"/>
      <c r="I15" s="19"/>
      <c r="J15" s="20"/>
    </row>
    <row r="16" spans="2:10">
      <c r="B16" s="18" t="s">
        <v>407</v>
      </c>
      <c r="C16" s="19">
        <v>0.20665147843109899</v>
      </c>
      <c r="D16" s="19"/>
      <c r="E16" s="19"/>
      <c r="F16" s="19"/>
      <c r="G16" s="19"/>
      <c r="H16" s="19"/>
      <c r="I16" s="19"/>
      <c r="J16" s="20"/>
    </row>
    <row r="17" spans="2:10">
      <c r="B17" s="18" t="s">
        <v>408</v>
      </c>
      <c r="C17" s="19">
        <v>919.60715349471081</v>
      </c>
      <c r="D17" s="19"/>
      <c r="E17" s="19"/>
      <c r="F17" s="19"/>
      <c r="G17" s="19"/>
      <c r="H17" s="19"/>
      <c r="I17" s="19"/>
      <c r="J17" s="20"/>
    </row>
    <row r="18" spans="2:10" ht="14.5" thickBot="1">
      <c r="B18" s="21" t="s">
        <v>409</v>
      </c>
      <c r="C18" s="22">
        <v>250</v>
      </c>
      <c r="D18" s="19"/>
      <c r="E18" s="19"/>
      <c r="F18" s="19"/>
      <c r="G18" s="19"/>
      <c r="H18" s="19"/>
      <c r="I18" s="19"/>
      <c r="J18" s="20"/>
    </row>
    <row r="19" spans="2:10">
      <c r="B19" s="18"/>
      <c r="C19" s="19"/>
      <c r="D19" s="19"/>
      <c r="E19" s="19"/>
      <c r="F19" s="19"/>
      <c r="G19" s="19"/>
      <c r="H19" s="19"/>
      <c r="I19" s="19"/>
      <c r="J19" s="20"/>
    </row>
    <row r="20" spans="2:10" ht="14.5" thickBot="1">
      <c r="B20" s="18" t="s">
        <v>410</v>
      </c>
      <c r="C20" s="19"/>
      <c r="D20" s="19"/>
      <c r="E20" s="19"/>
      <c r="F20" s="19"/>
      <c r="G20" s="19"/>
      <c r="H20" s="19"/>
      <c r="I20" s="19"/>
      <c r="J20" s="20"/>
    </row>
    <row r="21" spans="2:10" ht="14.5">
      <c r="B21" s="23"/>
      <c r="C21" s="24" t="s">
        <v>415</v>
      </c>
      <c r="D21" s="24" t="s">
        <v>416</v>
      </c>
      <c r="E21" s="24" t="s">
        <v>417</v>
      </c>
      <c r="F21" s="24" t="s">
        <v>418</v>
      </c>
      <c r="G21" s="24" t="s">
        <v>419</v>
      </c>
      <c r="H21" s="19"/>
      <c r="I21" s="19"/>
      <c r="J21" s="20"/>
    </row>
    <row r="22" spans="2:10">
      <c r="B22" s="18" t="s">
        <v>411</v>
      </c>
      <c r="C22" s="19">
        <v>1</v>
      </c>
      <c r="D22" s="19">
        <v>55695916.896352559</v>
      </c>
      <c r="E22" s="19">
        <v>55695916.896352559</v>
      </c>
      <c r="F22" s="19">
        <v>65.859537429508848</v>
      </c>
      <c r="G22" s="19">
        <v>2.2586478953135327E-14</v>
      </c>
      <c r="H22" s="19"/>
      <c r="I22" s="19"/>
      <c r="J22" s="20"/>
    </row>
    <row r="23" spans="2:10">
      <c r="B23" s="18" t="s">
        <v>412</v>
      </c>
      <c r="C23" s="19">
        <v>248</v>
      </c>
      <c r="D23" s="19">
        <v>209727974.55614385</v>
      </c>
      <c r="E23" s="19">
        <v>845677.31675864453</v>
      </c>
      <c r="F23" s="19"/>
      <c r="G23" s="19"/>
      <c r="H23" s="19"/>
      <c r="I23" s="19"/>
      <c r="J23" s="20"/>
    </row>
    <row r="24" spans="2:10" ht="14.5" thickBot="1">
      <c r="B24" s="21" t="s">
        <v>413</v>
      </c>
      <c r="C24" s="22">
        <v>249</v>
      </c>
      <c r="D24" s="22">
        <v>265423891.45249641</v>
      </c>
      <c r="E24" s="22"/>
      <c r="F24" s="22"/>
      <c r="G24" s="22"/>
      <c r="H24" s="19"/>
      <c r="I24" s="19"/>
      <c r="J24" s="20"/>
    </row>
    <row r="25" spans="2:10" ht="14.5" thickBot="1">
      <c r="B25" s="18"/>
      <c r="C25" s="19"/>
      <c r="D25" s="19"/>
      <c r="E25" s="19"/>
      <c r="F25" s="19"/>
      <c r="G25" s="19"/>
      <c r="H25" s="19"/>
      <c r="I25" s="19"/>
      <c r="J25" s="20"/>
    </row>
    <row r="26" spans="2:10" ht="14.5">
      <c r="B26" s="23"/>
      <c r="C26" s="24" t="s">
        <v>420</v>
      </c>
      <c r="D26" s="24" t="s">
        <v>408</v>
      </c>
      <c r="E26" s="24" t="s">
        <v>421</v>
      </c>
      <c r="F26" s="24" t="s">
        <v>422</v>
      </c>
      <c r="G26" s="24" t="s">
        <v>423</v>
      </c>
      <c r="H26" s="24" t="s">
        <v>424</v>
      </c>
      <c r="I26" s="24" t="s">
        <v>425</v>
      </c>
      <c r="J26" s="25" t="s">
        <v>426</v>
      </c>
    </row>
    <row r="27" spans="2:10">
      <c r="B27" s="18" t="s">
        <v>414</v>
      </c>
      <c r="C27" s="19">
        <v>-148.8546489154179</v>
      </c>
      <c r="D27" s="19">
        <v>143.61334429876459</v>
      </c>
      <c r="E27" s="19">
        <v>-1.0364959443166342</v>
      </c>
      <c r="F27" s="19">
        <v>0.30098040367912032</v>
      </c>
      <c r="G27" s="19">
        <v>-431.71199538208759</v>
      </c>
      <c r="H27" s="19">
        <v>134.0026975512518</v>
      </c>
      <c r="I27" s="19">
        <v>-431.71199538208759</v>
      </c>
      <c r="J27" s="20">
        <v>134.0026975512518</v>
      </c>
    </row>
    <row r="28" spans="2:10">
      <c r="B28" s="26" t="s">
        <v>427</v>
      </c>
      <c r="C28" s="27">
        <v>353.79300428798769</v>
      </c>
      <c r="D28" s="27">
        <v>43.595323340526853</v>
      </c>
      <c r="E28" s="27">
        <v>8.1153889265708585</v>
      </c>
      <c r="F28" s="27">
        <v>2.2586478953134677E-14</v>
      </c>
      <c r="G28" s="27">
        <v>267.92871682452824</v>
      </c>
      <c r="H28" s="27">
        <v>439.65729175144713</v>
      </c>
      <c r="I28" s="27">
        <v>267.92871682452824</v>
      </c>
      <c r="J28" s="28">
        <v>439.65729175144713</v>
      </c>
    </row>
  </sheetData>
  <mergeCells count="8">
    <mergeCell ref="E8:F8"/>
    <mergeCell ref="B2:C2"/>
    <mergeCell ref="E2:G2"/>
    <mergeCell ref="E3:F3"/>
    <mergeCell ref="E4:F4"/>
    <mergeCell ref="E5:F5"/>
    <mergeCell ref="E6:F6"/>
    <mergeCell ref="E7:F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zoomScale="93" workbookViewId="0">
      <selection sqref="A1:E1"/>
    </sheetView>
  </sheetViews>
  <sheetFormatPr defaultRowHeight="14"/>
  <cols>
    <col min="2" max="2" width="14.9140625" bestFit="1" customWidth="1"/>
    <col min="3" max="3" width="18.9140625" customWidth="1"/>
    <col min="4" max="4" width="14.4140625" customWidth="1"/>
  </cols>
  <sheetData>
    <row r="1" spans="1:5">
      <c r="A1" s="92" t="s">
        <v>493</v>
      </c>
      <c r="B1" s="92"/>
      <c r="C1" s="92"/>
      <c r="D1" s="92"/>
      <c r="E1" s="92"/>
    </row>
    <row r="2" spans="1:5">
      <c r="B2" s="42" t="str" cm="1">
        <f t="array" ref="B2:B51">_xlfn.UNIQUE(Table1[Customer_Name])</f>
        <v>John Smith</v>
      </c>
      <c r="C2" s="42">
        <f>SUMIFS(Table1[Total_Amount],Table1[Customer_Name],High_Value_Customers!B2)</f>
        <v>599.96</v>
      </c>
      <c r="D2" s="42" t="str">
        <f>IF(C2&gt;=1000,"High-Value","Normal-Value")</f>
        <v>Normal-Value</v>
      </c>
    </row>
    <row r="3" spans="1:5">
      <c r="B3" s="10" t="str">
        <v>Emma Wilson</v>
      </c>
      <c r="C3" s="10">
        <f>SUMIFS(Table1[Total_Amount],Table1[Customer_Name],High_Value_Customers!B3)</f>
        <v>1229.8800000000001</v>
      </c>
      <c r="D3" s="10" t="str">
        <f t="shared" ref="D3:D51" si="0">IF(C3&gt;=1000,"High-Value","Normal-Value")</f>
        <v>High-Value</v>
      </c>
    </row>
    <row r="4" spans="1:5">
      <c r="B4" s="10" t="str">
        <v>Michael Brown</v>
      </c>
      <c r="C4" s="10">
        <f>SUMIFS(Table1[Total_Amount],Table1[Customer_Name],High_Value_Customers!B4)</f>
        <v>6169.7400000000007</v>
      </c>
      <c r="D4" s="10" t="str">
        <f t="shared" si="0"/>
        <v>High-Value</v>
      </c>
    </row>
    <row r="5" spans="1:5">
      <c r="B5" s="10" t="str">
        <v>Sarah Davis</v>
      </c>
      <c r="C5" s="10">
        <f>SUMIFS(Table1[Total_Amount],Table1[Customer_Name],High_Value_Customers!B5)</f>
        <v>5499.8099999999995</v>
      </c>
      <c r="D5" s="10" t="str">
        <f t="shared" si="0"/>
        <v>High-Value</v>
      </c>
    </row>
    <row r="6" spans="1:5">
      <c r="B6" s="10" t="str">
        <v>James Johnson</v>
      </c>
      <c r="C6" s="10">
        <f>SUMIFS(Table1[Total_Amount],Table1[Customer_Name],High_Value_Customers!B6)</f>
        <v>179.97</v>
      </c>
      <c r="D6" s="10" t="str">
        <f t="shared" si="0"/>
        <v>Normal-Value</v>
      </c>
    </row>
    <row r="7" spans="1:5">
      <c r="B7" s="10" t="str">
        <v>Lisa Anderson</v>
      </c>
      <c r="C7" s="10">
        <f>SUMIFS(Table1[Total_Amount],Table1[Customer_Name],High_Value_Customers!B7)</f>
        <v>2039.8000000000002</v>
      </c>
      <c r="D7" s="10" t="str">
        <f t="shared" si="0"/>
        <v>High-Value</v>
      </c>
    </row>
    <row r="8" spans="1:5">
      <c r="B8" s="10" t="str">
        <v>David Martinez</v>
      </c>
      <c r="C8" s="10">
        <f>SUMIFS(Table1[Total_Amount],Table1[Customer_Name],High_Value_Customers!B8)</f>
        <v>1809.84</v>
      </c>
      <c r="D8" s="10" t="str">
        <f t="shared" si="0"/>
        <v>High-Value</v>
      </c>
    </row>
    <row r="9" spans="1:5">
      <c r="B9" s="10" t="str">
        <v>Jennifer Taylor</v>
      </c>
      <c r="C9" s="10">
        <f>SUMIFS(Table1[Total_Amount],Table1[Customer_Name],High_Value_Customers!B9)</f>
        <v>4739.8500000000004</v>
      </c>
      <c r="D9" s="10" t="str">
        <f t="shared" si="0"/>
        <v>High-Value</v>
      </c>
    </row>
    <row r="10" spans="1:5">
      <c r="B10" s="10" t="str">
        <v>Robert Thomas</v>
      </c>
      <c r="C10" s="10">
        <f>SUMIFS(Table1[Total_Amount],Table1[Customer_Name],High_Value_Customers!B10)</f>
        <v>3509.8999999999996</v>
      </c>
      <c r="D10" s="10" t="str">
        <f t="shared" si="0"/>
        <v>High-Value</v>
      </c>
    </row>
    <row r="11" spans="1:5">
      <c r="B11" s="10" t="str">
        <v>Maria Garcia</v>
      </c>
      <c r="C11" s="10">
        <f>SUMIFS(Table1[Total_Amount],Table1[Customer_Name],High_Value_Customers!B11)</f>
        <v>1909.93</v>
      </c>
      <c r="D11" s="10" t="str">
        <f t="shared" si="0"/>
        <v>High-Value</v>
      </c>
    </row>
    <row r="12" spans="1:5">
      <c r="B12" s="10" t="str">
        <v>William White</v>
      </c>
      <c r="C12" s="10">
        <f>SUMIFS(Table1[Total_Amount],Table1[Customer_Name],High_Value_Customers!B12)</f>
        <v>4749.91</v>
      </c>
      <c r="D12" s="10" t="str">
        <f t="shared" si="0"/>
        <v>High-Value</v>
      </c>
    </row>
    <row r="13" spans="1:5">
      <c r="B13" s="10" t="str">
        <v>Patricia Moore</v>
      </c>
      <c r="C13" s="10">
        <f>SUMIFS(Table1[Total_Amount],Table1[Customer_Name],High_Value_Customers!B13)</f>
        <v>9799.73</v>
      </c>
      <c r="D13" s="10" t="str">
        <f t="shared" si="0"/>
        <v>High-Value</v>
      </c>
    </row>
    <row r="14" spans="1:5">
      <c r="B14" s="10" t="str">
        <v>Joseph Jackson</v>
      </c>
      <c r="C14" s="10">
        <f>SUMIFS(Table1[Total_Amount],Table1[Customer_Name],High_Value_Customers!B14)</f>
        <v>6949.84</v>
      </c>
      <c r="D14" s="10" t="str">
        <f t="shared" si="0"/>
        <v>High-Value</v>
      </c>
    </row>
    <row r="15" spans="1:5">
      <c r="B15" s="10" t="str">
        <v>Linda Martin</v>
      </c>
      <c r="C15" s="10">
        <f>SUMIFS(Table1[Total_Amount],Table1[Customer_Name],High_Value_Customers!B15)</f>
        <v>1289.9000000000001</v>
      </c>
      <c r="D15" s="10" t="str">
        <f t="shared" si="0"/>
        <v>High-Value</v>
      </c>
    </row>
    <row r="16" spans="1:5">
      <c r="B16" s="10" t="str">
        <v>Richard Lee</v>
      </c>
      <c r="C16" s="10">
        <f>SUMIFS(Table1[Total_Amount],Table1[Customer_Name],High_Value_Customers!B16)</f>
        <v>739.93000000000006</v>
      </c>
      <c r="D16" s="10" t="str">
        <f t="shared" si="0"/>
        <v>Normal-Value</v>
      </c>
    </row>
    <row r="17" spans="2:4">
      <c r="B17" s="10" t="str">
        <v>Elizabeth Hall</v>
      </c>
      <c r="C17" s="10">
        <f>SUMIFS(Table1[Total_Amount],Table1[Customer_Name],High_Value_Customers!B17)</f>
        <v>3649.8599999999997</v>
      </c>
      <c r="D17" s="10" t="str">
        <f t="shared" si="0"/>
        <v>High-Value</v>
      </c>
    </row>
    <row r="18" spans="2:4">
      <c r="B18" s="10" t="str">
        <v>Charles Allen</v>
      </c>
      <c r="C18" s="10">
        <f>SUMIFS(Table1[Total_Amount],Table1[Customer_Name],High_Value_Customers!B18)</f>
        <v>5089.7300000000005</v>
      </c>
      <c r="D18" s="10" t="str">
        <f t="shared" si="0"/>
        <v>High-Value</v>
      </c>
    </row>
    <row r="19" spans="2:4">
      <c r="B19" s="10" t="str">
        <v>Barbara Young</v>
      </c>
      <c r="C19" s="10">
        <f>SUMIFS(Table1[Total_Amount],Table1[Customer_Name],High_Value_Customers!B19)</f>
        <v>10649.8</v>
      </c>
      <c r="D19" s="10" t="str">
        <f t="shared" si="0"/>
        <v>High-Value</v>
      </c>
    </row>
    <row r="20" spans="2:4">
      <c r="B20" s="10" t="str">
        <v>Daniel King</v>
      </c>
      <c r="C20" s="10">
        <f>SUMIFS(Table1[Total_Amount],Table1[Customer_Name],High_Value_Customers!B20)</f>
        <v>7309.7999999999993</v>
      </c>
      <c r="D20" s="10" t="str">
        <f t="shared" si="0"/>
        <v>High-Value</v>
      </c>
    </row>
    <row r="21" spans="2:4">
      <c r="B21" s="10" t="str">
        <v>Margaret Wright</v>
      </c>
      <c r="C21" s="10">
        <f>SUMIFS(Table1[Total_Amount],Table1[Customer_Name],High_Value_Customers!B21)</f>
        <v>2099.88</v>
      </c>
      <c r="D21" s="10" t="str">
        <f t="shared" si="0"/>
        <v>High-Value</v>
      </c>
    </row>
    <row r="22" spans="2:4">
      <c r="B22" s="10" t="str">
        <v>Kevin Scott</v>
      </c>
      <c r="C22" s="10">
        <f>SUMIFS(Table1[Total_Amount],Table1[Customer_Name],High_Value_Customers!B22)</f>
        <v>3259.87</v>
      </c>
      <c r="D22" s="10" t="str">
        <f t="shared" si="0"/>
        <v>High-Value</v>
      </c>
    </row>
    <row r="23" spans="2:4">
      <c r="B23" s="10" t="str">
        <v>Susan Green</v>
      </c>
      <c r="C23" s="10">
        <f>SUMIFS(Table1[Total_Amount],Table1[Customer_Name],High_Value_Customers!B23)</f>
        <v>1979.89</v>
      </c>
      <c r="D23" s="10" t="str">
        <f t="shared" si="0"/>
        <v>High-Value</v>
      </c>
    </row>
    <row r="24" spans="2:4">
      <c r="B24" s="10" t="str">
        <v>Paul Baker</v>
      </c>
      <c r="C24" s="10">
        <f>SUMIFS(Table1[Total_Amount],Table1[Customer_Name],High_Value_Customers!B24)</f>
        <v>8309.739999999998</v>
      </c>
      <c r="D24" s="10" t="str">
        <f t="shared" si="0"/>
        <v>High-Value</v>
      </c>
    </row>
    <row r="25" spans="2:4">
      <c r="B25" s="10" t="str">
        <v>Dorothy Nelson</v>
      </c>
      <c r="C25" s="10">
        <f>SUMIFS(Table1[Total_Amount],Table1[Customer_Name],High_Value_Customers!B25)</f>
        <v>8269.7900000000009</v>
      </c>
      <c r="D25" s="10" t="str">
        <f t="shared" si="0"/>
        <v>High-Value</v>
      </c>
    </row>
    <row r="26" spans="2:4">
      <c r="B26" s="10" t="str">
        <v>Mark Carter</v>
      </c>
      <c r="C26" s="10">
        <f>SUMIFS(Table1[Total_Amount],Table1[Customer_Name],High_Value_Customers!B26)</f>
        <v>15659.65</v>
      </c>
      <c r="D26" s="10" t="str">
        <f t="shared" si="0"/>
        <v>High-Value</v>
      </c>
    </row>
    <row r="27" spans="2:4">
      <c r="B27" s="10" t="str">
        <v>Karen Hill</v>
      </c>
      <c r="C27" s="10">
        <f>SUMIFS(Table1[Total_Amount],Table1[Customer_Name],High_Value_Customers!B27)</f>
        <v>8009.7699999999995</v>
      </c>
      <c r="D27" s="10" t="str">
        <f t="shared" si="0"/>
        <v>High-Value</v>
      </c>
    </row>
    <row r="28" spans="2:4">
      <c r="B28" s="10" t="str">
        <v>George Adams</v>
      </c>
      <c r="C28" s="10">
        <f>SUMIFS(Table1[Total_Amount],Table1[Customer_Name],High_Value_Customers!B28)</f>
        <v>3779.93</v>
      </c>
      <c r="D28" s="10" t="str">
        <f t="shared" si="0"/>
        <v>High-Value</v>
      </c>
    </row>
    <row r="29" spans="2:4">
      <c r="B29" s="10" t="str">
        <v>Betty Campbell</v>
      </c>
      <c r="C29" s="10">
        <f>SUMIFS(Table1[Total_Amount],Table1[Customer_Name],High_Value_Customers!B29)</f>
        <v>5649.84</v>
      </c>
      <c r="D29" s="10" t="str">
        <f t="shared" si="0"/>
        <v>High-Value</v>
      </c>
    </row>
    <row r="30" spans="2:4">
      <c r="B30" s="10" t="str">
        <v>Edward Mitchell</v>
      </c>
      <c r="C30" s="10">
        <f>SUMIFS(Table1[Total_Amount],Table1[Customer_Name],High_Value_Customers!B30)</f>
        <v>11919.769999999999</v>
      </c>
      <c r="D30" s="10" t="str">
        <f t="shared" si="0"/>
        <v>High-Value</v>
      </c>
    </row>
    <row r="31" spans="2:4">
      <c r="B31" s="10" t="str">
        <v>Helen Roberts</v>
      </c>
      <c r="C31" s="10">
        <f>SUMIFS(Table1[Total_Amount],Table1[Customer_Name],High_Value_Customers!B31)</f>
        <v>6459.79</v>
      </c>
      <c r="D31" s="10" t="str">
        <f t="shared" si="0"/>
        <v>High-Value</v>
      </c>
    </row>
    <row r="32" spans="2:4">
      <c r="B32" s="10" t="str">
        <v>Steven Turner</v>
      </c>
      <c r="C32" s="10">
        <f>SUMIFS(Table1[Total_Amount],Table1[Customer_Name],High_Value_Customers!B32)</f>
        <v>2649.83</v>
      </c>
      <c r="D32" s="10" t="str">
        <f t="shared" si="0"/>
        <v>High-Value</v>
      </c>
    </row>
    <row r="33" spans="2:4">
      <c r="B33" s="10" t="str">
        <v>Sandra Phillips</v>
      </c>
      <c r="C33" s="10">
        <f>SUMIFS(Table1[Total_Amount],Table1[Customer_Name],High_Value_Customers!B33)</f>
        <v>6349.83</v>
      </c>
      <c r="D33" s="10" t="str">
        <f t="shared" si="0"/>
        <v>High-Value</v>
      </c>
    </row>
    <row r="34" spans="2:4">
      <c r="B34" s="10" t="str">
        <v>Frank Torres</v>
      </c>
      <c r="C34" s="10">
        <f>SUMIFS(Table1[Total_Amount],Table1[Customer_Name],High_Value_Customers!B34)</f>
        <v>1479.91</v>
      </c>
      <c r="D34" s="10" t="str">
        <f t="shared" si="0"/>
        <v>High-Value</v>
      </c>
    </row>
    <row r="35" spans="2:4">
      <c r="B35" s="10" t="str">
        <v>Carol Evans</v>
      </c>
      <c r="C35" s="10">
        <f>SUMIFS(Table1[Total_Amount],Table1[Customer_Name],High_Value_Customers!B35)</f>
        <v>1149.93</v>
      </c>
      <c r="D35" s="10" t="str">
        <f t="shared" si="0"/>
        <v>High-Value</v>
      </c>
    </row>
    <row r="36" spans="2:4">
      <c r="B36" s="10" t="str">
        <v>Harry Morgan</v>
      </c>
      <c r="C36" s="10">
        <f>SUMIFS(Table1[Total_Amount],Table1[Customer_Name],High_Value_Customers!B36)</f>
        <v>5519.8899999999994</v>
      </c>
      <c r="D36" s="10" t="str">
        <f t="shared" si="0"/>
        <v>High-Value</v>
      </c>
    </row>
    <row r="37" spans="2:4">
      <c r="B37" s="10" t="str">
        <v>Nancy Collins</v>
      </c>
      <c r="C37" s="10">
        <f>SUMIFS(Table1[Total_Amount],Table1[Customer_Name],High_Value_Customers!B37)</f>
        <v>4189.7700000000004</v>
      </c>
      <c r="D37" s="10" t="str">
        <f t="shared" si="0"/>
        <v>High-Value</v>
      </c>
    </row>
    <row r="38" spans="2:4">
      <c r="B38" s="10" t="str">
        <v>Arthur Edwards</v>
      </c>
      <c r="C38" s="10">
        <f>SUMIFS(Table1[Total_Amount],Table1[Customer_Name],High_Value_Customers!B38)</f>
        <v>1559.94</v>
      </c>
      <c r="D38" s="10" t="str">
        <f t="shared" si="0"/>
        <v>High-Value</v>
      </c>
    </row>
    <row r="39" spans="2:4">
      <c r="B39" s="10" t="str">
        <v>Michelle Rogers</v>
      </c>
      <c r="C39" s="10">
        <f>SUMIFS(Table1[Total_Amount],Table1[Customer_Name],High_Value_Customers!B39)</f>
        <v>4199.9399999999996</v>
      </c>
      <c r="D39" s="10" t="str">
        <f t="shared" si="0"/>
        <v>High-Value</v>
      </c>
    </row>
    <row r="40" spans="2:4">
      <c r="B40" s="10" t="str">
        <v>Lawrence Reed</v>
      </c>
      <c r="C40" s="10">
        <f>SUMIFS(Table1[Total_Amount],Table1[Customer_Name],High_Value_Customers!B40)</f>
        <v>6989.7699999999986</v>
      </c>
      <c r="D40" s="10" t="str">
        <f t="shared" si="0"/>
        <v>High-Value</v>
      </c>
    </row>
    <row r="41" spans="2:4">
      <c r="B41" s="10" t="str">
        <v>Sharon Butler</v>
      </c>
      <c r="C41" s="10">
        <f>SUMIFS(Table1[Total_Amount],Table1[Customer_Name],High_Value_Customers!B41)</f>
        <v>5619.869999999999</v>
      </c>
      <c r="D41" s="10" t="str">
        <f t="shared" si="0"/>
        <v>High-Value</v>
      </c>
    </row>
    <row r="42" spans="2:4">
      <c r="B42" s="10" t="str">
        <v>Peter Richardson</v>
      </c>
      <c r="C42" s="10">
        <f>SUMIFS(Table1[Total_Amount],Table1[Customer_Name],High_Value_Customers!B42)</f>
        <v>5949.85</v>
      </c>
      <c r="D42" s="10" t="str">
        <f t="shared" si="0"/>
        <v>High-Value</v>
      </c>
    </row>
    <row r="43" spans="2:4">
      <c r="B43" s="10" t="str">
        <v>Ruth Brooks</v>
      </c>
      <c r="C43" s="10">
        <f>SUMIFS(Table1[Total_Amount],Table1[Customer_Name],High_Value_Customers!B43)</f>
        <v>1749.92</v>
      </c>
      <c r="D43" s="10" t="str">
        <f t="shared" si="0"/>
        <v>High-Value</v>
      </c>
    </row>
    <row r="44" spans="2:4">
      <c r="B44" s="10" t="str">
        <v>Dennis Gray</v>
      </c>
      <c r="C44" s="10">
        <f>SUMIFS(Table1[Total_Amount],Table1[Customer_Name],High_Value_Customers!B44)</f>
        <v>479.91999999999996</v>
      </c>
      <c r="D44" s="10" t="str">
        <f t="shared" si="0"/>
        <v>Normal-Value</v>
      </c>
    </row>
    <row r="45" spans="2:4">
      <c r="B45" s="10" t="str">
        <v>Cynthia Price</v>
      </c>
      <c r="C45" s="10">
        <f>SUMIFS(Table1[Total_Amount],Table1[Customer_Name],High_Value_Customers!B45)</f>
        <v>3769.8300000000004</v>
      </c>
      <c r="D45" s="10" t="str">
        <f t="shared" si="0"/>
        <v>High-Value</v>
      </c>
    </row>
    <row r="46" spans="2:4">
      <c r="B46" s="10" t="str">
        <v>Douglas Watson</v>
      </c>
      <c r="C46" s="10">
        <f>SUMIFS(Table1[Total_Amount],Table1[Customer_Name],High_Value_Customers!B46)</f>
        <v>4829.8899999999994</v>
      </c>
      <c r="D46" s="10" t="str">
        <f t="shared" si="0"/>
        <v>High-Value</v>
      </c>
    </row>
    <row r="47" spans="2:4">
      <c r="B47" s="10" t="str">
        <v>Kathleen Bennett</v>
      </c>
      <c r="C47" s="10">
        <f>SUMIFS(Table1[Total_Amount],Table1[Customer_Name],High_Value_Customers!B47)</f>
        <v>4309.8099999999995</v>
      </c>
      <c r="D47" s="10" t="str">
        <f t="shared" si="0"/>
        <v>High-Value</v>
      </c>
    </row>
    <row r="48" spans="2:4">
      <c r="B48" s="10" t="str">
        <v>Gerald Murphy</v>
      </c>
      <c r="C48" s="10">
        <f>SUMIFS(Table1[Total_Amount],Table1[Customer_Name],High_Value_Customers!B48)</f>
        <v>6379.87</v>
      </c>
      <c r="D48" s="10" t="str">
        <f t="shared" si="0"/>
        <v>High-Value</v>
      </c>
    </row>
    <row r="49" spans="2:4">
      <c r="B49" s="10" t="str">
        <v>Virginia Sanders</v>
      </c>
      <c r="C49" s="10">
        <f>SUMIFS(Table1[Total_Amount],Table1[Customer_Name],High_Value_Customers!B49)</f>
        <v>4789.7900000000009</v>
      </c>
      <c r="D49" s="10" t="str">
        <f t="shared" si="0"/>
        <v>High-Value</v>
      </c>
    </row>
    <row r="50" spans="2:4">
      <c r="B50" s="10" t="str">
        <v>Raymond Ross</v>
      </c>
      <c r="C50" s="10">
        <f>SUMIFS(Table1[Total_Amount],Table1[Customer_Name],High_Value_Customers!B50)</f>
        <v>3669.8500000000004</v>
      </c>
      <c r="D50" s="10" t="str">
        <f t="shared" si="0"/>
        <v>High-Value</v>
      </c>
    </row>
    <row r="51" spans="2:4">
      <c r="B51" s="10" t="str">
        <v>Julie Foster</v>
      </c>
      <c r="C51" s="10">
        <f>SUMIFS(Table1[Total_Amount],Table1[Customer_Name],High_Value_Customers!B51)</f>
        <v>239.96</v>
      </c>
      <c r="D51" s="10" t="str">
        <f t="shared" si="0"/>
        <v>Normal-Value</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13"/>
  <sheetViews>
    <sheetView topLeftCell="B1" zoomScale="103" workbookViewId="0">
      <selection activeCell="J4" sqref="J4"/>
    </sheetView>
  </sheetViews>
  <sheetFormatPr defaultRowHeight="14"/>
  <cols>
    <col min="2" max="2" width="14.08203125" bestFit="1" customWidth="1"/>
    <col min="3" max="3" width="17.33203125" bestFit="1" customWidth="1"/>
    <col min="4" max="4" width="12.75" bestFit="1" customWidth="1"/>
    <col min="5" max="5" width="16.9140625" bestFit="1" customWidth="1"/>
    <col min="6" max="6" width="13.9140625" bestFit="1" customWidth="1"/>
    <col min="7" max="7" width="15.08203125" bestFit="1" customWidth="1"/>
    <col min="8" max="8" width="13.58203125" bestFit="1" customWidth="1"/>
    <col min="10" max="10" width="33.33203125" customWidth="1"/>
  </cols>
  <sheetData>
    <row r="3" spans="2:10">
      <c r="B3" s="67" t="s">
        <v>440</v>
      </c>
      <c r="C3" s="67" t="s">
        <v>441</v>
      </c>
      <c r="D3" s="67" t="s">
        <v>6</v>
      </c>
      <c r="E3" s="67" t="s">
        <v>442</v>
      </c>
      <c r="F3" s="67" t="s">
        <v>443</v>
      </c>
      <c r="G3" s="67" t="s">
        <v>444</v>
      </c>
      <c r="H3" s="67" t="s">
        <v>494</v>
      </c>
      <c r="J3" s="68" t="s">
        <v>454</v>
      </c>
    </row>
    <row r="4" spans="2:10">
      <c r="B4" s="10" t="str" cm="1">
        <f t="array" ref="B4:D13">_xlfn._xlws.SORT(_xlfn.UNIQUE(Table1[[Product_ID]:[Category]]))</f>
        <v>P001</v>
      </c>
      <c r="C4" s="10" t="str">
        <v>Laptop</v>
      </c>
      <c r="D4" s="10" t="str">
        <v>Electronics</v>
      </c>
      <c r="E4" s="10">
        <f>SUMIFS(Table1[Total_Amount],Table1[Product_ID],Product_Analysis!B4)</f>
        <v>67499.25</v>
      </c>
      <c r="F4" s="10">
        <f>SUMIFS(Table1[Quantity],Table1[Product_ID],Product_Analysis!B4)</f>
        <v>75</v>
      </c>
      <c r="G4" s="10">
        <f>COUNTIFS(Table1[Product_ID],Product_Analysis!B4)</f>
        <v>24</v>
      </c>
      <c r="H4" s="10">
        <f>AVERAGEIFS(Table1[Unit_Price],Table1[Product_ID],Product_Analysis!B4)</f>
        <v>899.99000000000024</v>
      </c>
      <c r="J4" s="69" t="str" cm="1">
        <f t="array" ref="J4">INDEX(Table1[Product_Name],_xlfn.MODE.SNGL(MATCH(Table1[Product_Name],Table1[Product_Name],0)))</f>
        <v>Bookshelf</v>
      </c>
    </row>
    <row r="5" spans="2:10">
      <c r="B5" s="10" t="str">
        <v>P002</v>
      </c>
      <c r="C5" s="10" t="str">
        <v>Smartphone</v>
      </c>
      <c r="D5" s="10" t="str">
        <v>Electronics</v>
      </c>
      <c r="E5" s="10">
        <f>SUMIFS(Table1[Total_Amount],Table1[Product_ID],Product_Analysis!B5)</f>
        <v>67199.040000000008</v>
      </c>
      <c r="F5" s="10">
        <f>SUMIFS(Table1[Quantity],Table1[Product_ID],Product_Analysis!B5)</f>
        <v>96</v>
      </c>
      <c r="G5" s="10">
        <f>COUNTIFS(Table1[Product_ID],Product_Analysis!B5)</f>
        <v>31</v>
      </c>
      <c r="H5" s="10">
        <f>AVERAGEIFS(Table1[Unit_Price],Table1[Product_ID],Product_Analysis!B5)</f>
        <v>699.99000000000035</v>
      </c>
    </row>
    <row r="6" spans="2:10">
      <c r="B6" s="10" t="str">
        <v>P003</v>
      </c>
      <c r="C6" s="10" t="str">
        <v>Headphones</v>
      </c>
      <c r="D6" s="10" t="str">
        <v>Electronics</v>
      </c>
      <c r="E6" s="10">
        <f>SUMIFS(Table1[Total_Amount],Table1[Product_ID],Product_Analysis!B6)</f>
        <v>7049.5300000000007</v>
      </c>
      <c r="F6" s="10">
        <f>SUMIFS(Table1[Quantity],Table1[Product_ID],Product_Analysis!B6)</f>
        <v>47</v>
      </c>
      <c r="G6" s="10">
        <f>COUNTIFS(Table1[Product_ID],Product_Analysis!B6)</f>
        <v>16</v>
      </c>
      <c r="H6" s="10">
        <f>AVERAGEIFS(Table1[Unit_Price],Table1[Product_ID],Product_Analysis!B6)</f>
        <v>149.99</v>
      </c>
    </row>
    <row r="7" spans="2:10">
      <c r="B7" s="10" t="str">
        <v>P004</v>
      </c>
      <c r="C7" s="10" t="str">
        <v>Coffee Maker</v>
      </c>
      <c r="D7" s="10" t="str">
        <v>Appliances</v>
      </c>
      <c r="E7" s="10">
        <f>SUMIFS(Table1[Total_Amount],Table1[Product_ID],Product_Analysis!B7)</f>
        <v>3119.6099999999992</v>
      </c>
      <c r="F7" s="10">
        <f>SUMIFS(Table1[Quantity],Table1[Product_ID],Product_Analysis!B7)</f>
        <v>39</v>
      </c>
      <c r="G7" s="10">
        <f>COUNTIFS(Table1[Product_ID],Product_Analysis!B7)</f>
        <v>14</v>
      </c>
      <c r="H7" s="10">
        <f>AVERAGEIFS(Table1[Unit_Price],Table1[Product_ID],Product_Analysis!B7)</f>
        <v>79.989999999999995</v>
      </c>
    </row>
    <row r="8" spans="2:10">
      <c r="B8" s="10" t="str">
        <v>P005</v>
      </c>
      <c r="C8" s="10" t="str">
        <v>Blender</v>
      </c>
      <c r="D8" s="10" t="str">
        <v>Appliances</v>
      </c>
      <c r="E8" s="10">
        <f>SUMIFS(Table1[Total_Amount],Table1[Product_ID],Product_Analysis!B8)</f>
        <v>5219.1299999999992</v>
      </c>
      <c r="F8" s="10">
        <f>SUMIFS(Table1[Quantity],Table1[Product_ID],Product_Analysis!B8)</f>
        <v>87</v>
      </c>
      <c r="G8" s="10">
        <f>COUNTIFS(Table1[Product_ID],Product_Analysis!B8)</f>
        <v>29</v>
      </c>
      <c r="H8" s="10">
        <f>AVERAGEIFS(Table1[Unit_Price],Table1[Product_ID],Product_Analysis!B8)</f>
        <v>59.99</v>
      </c>
    </row>
    <row r="9" spans="2:10">
      <c r="B9" s="10" t="str">
        <v>P006</v>
      </c>
      <c r="C9" s="10" t="str">
        <v>Office Chair</v>
      </c>
      <c r="D9" s="10" t="str">
        <v>Furniture</v>
      </c>
      <c r="E9" s="10">
        <f>SUMIFS(Table1[Total_Amount],Table1[Product_ID],Product_Analysis!B9)</f>
        <v>10399.48</v>
      </c>
      <c r="F9" s="10">
        <f>SUMIFS(Table1[Quantity],Table1[Product_ID],Product_Analysis!B9)</f>
        <v>52</v>
      </c>
      <c r="G9" s="10">
        <f>COUNTIFS(Table1[Product_ID],Product_Analysis!B9)</f>
        <v>15</v>
      </c>
      <c r="H9" s="10">
        <f>AVERAGEIFS(Table1[Unit_Price],Table1[Product_ID],Product_Analysis!B9)</f>
        <v>199.98999999999995</v>
      </c>
    </row>
    <row r="10" spans="2:10">
      <c r="B10" s="10" t="str">
        <v>P007</v>
      </c>
      <c r="C10" s="10" t="str">
        <v>Desk</v>
      </c>
      <c r="D10" s="10" t="str">
        <v>Furniture</v>
      </c>
      <c r="E10" s="10">
        <f>SUMIFS(Table1[Total_Amount],Table1[Product_ID],Product_Analysis!B10)</f>
        <v>23399.220000000005</v>
      </c>
      <c r="F10" s="10">
        <f>SUMIFS(Table1[Quantity],Table1[Product_ID],Product_Analysis!B10)</f>
        <v>78</v>
      </c>
      <c r="G10" s="10">
        <f>COUNTIFS(Table1[Product_ID],Product_Analysis!B10)</f>
        <v>26</v>
      </c>
      <c r="H10" s="10">
        <f>AVERAGEIFS(Table1[Unit_Price],Table1[Product_ID],Product_Analysis!B10)</f>
        <v>299.98999999999984</v>
      </c>
    </row>
    <row r="11" spans="2:10">
      <c r="B11" s="10" t="str">
        <v>P008</v>
      </c>
      <c r="C11" s="10" t="str">
        <v>Bookshelf</v>
      </c>
      <c r="D11" s="10" t="str">
        <v>Furniture</v>
      </c>
      <c r="E11" s="10">
        <f>SUMIFS(Table1[Total_Amount],Table1[Product_ID],Product_Analysis!B11)</f>
        <v>15298.979999999996</v>
      </c>
      <c r="F11" s="10">
        <f>SUMIFS(Table1[Quantity],Table1[Product_ID],Product_Analysis!B11)</f>
        <v>102</v>
      </c>
      <c r="G11" s="10">
        <f>COUNTIFS(Table1[Product_ID],Product_Analysis!B11)</f>
        <v>35</v>
      </c>
      <c r="H11" s="10">
        <f>AVERAGEIFS(Table1[Unit_Price],Table1[Product_ID],Product_Analysis!B11)</f>
        <v>149.9899999999999</v>
      </c>
    </row>
    <row r="12" spans="2:10">
      <c r="B12" s="10" t="str">
        <v>P009</v>
      </c>
      <c r="C12" s="10" t="str">
        <v>Monitor</v>
      </c>
      <c r="D12" s="10" t="str">
        <v>Electronics</v>
      </c>
      <c r="E12" s="10">
        <f>SUMIFS(Table1[Total_Amount],Table1[Product_ID],Product_Analysis!B12)</f>
        <v>21999.120000000003</v>
      </c>
      <c r="F12" s="10">
        <f>SUMIFS(Table1[Quantity],Table1[Product_ID],Product_Analysis!B12)</f>
        <v>88</v>
      </c>
      <c r="G12" s="10">
        <f>COUNTIFS(Table1[Product_ID],Product_Analysis!B12)</f>
        <v>26</v>
      </c>
      <c r="H12" s="10">
        <f>AVERAGEIFS(Table1[Unit_Price],Table1[Product_ID],Product_Analysis!B12)</f>
        <v>249.98999999999984</v>
      </c>
    </row>
    <row r="13" spans="2:10">
      <c r="B13" s="10" t="str">
        <v>P010</v>
      </c>
      <c r="C13" s="10" t="str">
        <v>Keyboard</v>
      </c>
      <c r="D13" s="10" t="str">
        <v>Electronics</v>
      </c>
      <c r="E13" s="10">
        <f>SUMIFS(Table1[Total_Amount],Table1[Product_ID],Product_Analysis!B13)</f>
        <v>8009.109999999996</v>
      </c>
      <c r="F13" s="10">
        <f>SUMIFS(Table1[Quantity],Table1[Product_ID],Product_Analysis!B13)</f>
        <v>89</v>
      </c>
      <c r="G13" s="10">
        <f>COUNTIFS(Table1[Product_ID],Product_Analysis!B13)</f>
        <v>34</v>
      </c>
      <c r="H13" s="10">
        <f>AVERAGEIFS(Table1[Unit_Price],Table1[Product_ID],Product_Analysis!B13)</f>
        <v>89.989999999999924</v>
      </c>
    </row>
  </sheetData>
  <autoFilter ref="B3:H1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8"/>
  <sheetViews>
    <sheetView workbookViewId="0">
      <selection activeCell="F22" sqref="F22"/>
    </sheetView>
  </sheetViews>
  <sheetFormatPr defaultRowHeight="14"/>
  <cols>
    <col min="2" max="2" width="8.75" customWidth="1"/>
    <col min="3" max="3" width="16.4140625" customWidth="1"/>
    <col min="4" max="4" width="16.6640625" customWidth="1"/>
    <col min="5" max="5" width="20.1640625" customWidth="1"/>
  </cols>
  <sheetData>
    <row r="2" spans="2:5">
      <c r="B2" s="67" t="s">
        <v>10</v>
      </c>
      <c r="C2" s="67" t="s">
        <v>442</v>
      </c>
      <c r="D2" s="67" t="s">
        <v>445</v>
      </c>
      <c r="E2" s="67" t="s">
        <v>446</v>
      </c>
    </row>
    <row r="3" spans="2:5">
      <c r="B3" s="71" t="str" cm="1">
        <f t="array" ref="B3:B7">_xlfn.UNIQUE(Table1[Region])</f>
        <v>West</v>
      </c>
      <c r="C3" s="71">
        <f>SUMIFS(Table1[Total_Amount],Table1[Region],Regional_Analysis!B3)</f>
        <v>41408.68</v>
      </c>
      <c r="D3" s="71">
        <f>COUNTIFS(Table1[Region],Regional_Analysis!B3)</f>
        <v>47</v>
      </c>
      <c r="E3" s="71" cm="1">
        <f t="array" ref="E3">COUNTA(_xlfn.UNIQUE(_xlfn._xlws.FILTER(Table1[Customer_Name], Table1[Region]=B3)))</f>
        <v>30</v>
      </c>
    </row>
    <row r="4" spans="2:5">
      <c r="B4" s="71" t="str">
        <v>Central</v>
      </c>
      <c r="C4" s="71">
        <f>SUMIFS(Table1[Total_Amount],Table1[Region],Regional_Analysis!B4)</f>
        <v>41288.340000000004</v>
      </c>
      <c r="D4" s="71">
        <f>COUNTIFS(Table1[Region],Regional_Analysis!B4)</f>
        <v>54</v>
      </c>
      <c r="E4" s="71" cm="1">
        <f t="array" ref="E4">COUNTA(_xlfn.UNIQUE(_xlfn._xlws.FILTER(Table1[Customer_Name], Table1[Region]=B4)))</f>
        <v>32</v>
      </c>
    </row>
    <row r="5" spans="2:5">
      <c r="B5" s="71" t="str">
        <v>East</v>
      </c>
      <c r="C5" s="71">
        <f>SUMIFS(Table1[Total_Amount],Table1[Region],Regional_Analysis!B5)</f>
        <v>59288.39</v>
      </c>
      <c r="D5" s="71">
        <f>COUNTIFS(Table1[Region],Regional_Analysis!B5)</f>
        <v>48</v>
      </c>
      <c r="E5" s="71" cm="1">
        <f t="array" ref="E5">COUNTA(_xlfn.UNIQUE(_xlfn._xlws.FILTER(Table1[Customer_Name], Table1[Region]=B5)))</f>
        <v>29</v>
      </c>
    </row>
    <row r="6" spans="2:5">
      <c r="B6" s="71" t="str">
        <v>North</v>
      </c>
      <c r="C6" s="71">
        <f>SUMIFS(Table1[Total_Amount],Table1[Region],Regional_Analysis!B6)</f>
        <v>50808.310000000019</v>
      </c>
      <c r="D6" s="71">
        <f>COUNTIFS(Table1[Region],Regional_Analysis!B6)</f>
        <v>59</v>
      </c>
      <c r="E6" s="71" cm="1">
        <f t="array" ref="E6">COUNTA(_xlfn.UNIQUE(_xlfn._xlws.FILTER(Table1[Customer_Name], Table1[Region]=B6)))</f>
        <v>31</v>
      </c>
    </row>
    <row r="7" spans="2:5">
      <c r="B7" s="71" t="str">
        <v>South</v>
      </c>
      <c r="C7" s="71">
        <f>SUMIFS(Table1[Total_Amount],Table1[Region],Regional_Analysis!B7)</f>
        <v>36398.75</v>
      </c>
      <c r="D7" s="71">
        <f>COUNTIFS(Table1[Region],Regional_Analysis!B7)</f>
        <v>42</v>
      </c>
      <c r="E7" s="71" cm="1">
        <f t="array" ref="E7">COUNTA(_xlfn.UNIQUE(_xlfn._xlws.FILTER(Table1[Customer_Name], Table1[Region]=B7)))</f>
        <v>29</v>
      </c>
    </row>
    <row r="8" spans="2:5">
      <c r="B8" s="72" t="s">
        <v>413</v>
      </c>
      <c r="C8" s="73">
        <f>SUM(C3:C7)</f>
        <v>229192.47000000003</v>
      </c>
      <c r="D8" s="73">
        <f>SUM(D3:D7)</f>
        <v>250</v>
      </c>
      <c r="E8" s="7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workbookViewId="0">
      <selection activeCell="I54" sqref="I54"/>
    </sheetView>
  </sheetViews>
  <sheetFormatPr defaultRowHeight="14"/>
  <cols>
    <col min="2" max="2" width="37.75" bestFit="1" customWidth="1"/>
    <col min="3" max="3" width="15.25" customWidth="1"/>
  </cols>
  <sheetData>
    <row r="1" spans="1:4" ht="18">
      <c r="A1" s="93" t="s">
        <v>492</v>
      </c>
      <c r="B1" s="93"/>
      <c r="C1" s="93"/>
      <c r="D1" s="93"/>
    </row>
    <row r="3" spans="1:4">
      <c r="B3" s="85" t="s">
        <v>465</v>
      </c>
      <c r="C3" s="85"/>
    </row>
    <row r="5" spans="1:4">
      <c r="B5" s="74" t="s">
        <v>466</v>
      </c>
      <c r="C5" s="74" t="s">
        <v>467</v>
      </c>
    </row>
    <row r="6" spans="1:4">
      <c r="B6" s="59" t="str" cm="1">
        <f t="array" ref="B6:B55">_xlfn.UNIQUE(Table1[Customer_Name])</f>
        <v>John Smith</v>
      </c>
      <c r="C6" s="59" t="str">
        <f>LEFT(B6,1)&amp;MID(B6,FIND(" ",B6)+1,1)</f>
        <v>JS</v>
      </c>
    </row>
    <row r="7" spans="1:4">
      <c r="B7" s="59" t="str">
        <v>Emma Wilson</v>
      </c>
      <c r="C7" s="59" t="str">
        <f t="shared" ref="C7:C55" si="0">LEFT(B7,1)&amp;MID(B7,FIND(" ",B7)+1,1)</f>
        <v>EW</v>
      </c>
    </row>
    <row r="8" spans="1:4">
      <c r="B8" s="59" t="str">
        <v>Michael Brown</v>
      </c>
      <c r="C8" s="59" t="str">
        <f t="shared" si="0"/>
        <v>MB</v>
      </c>
    </row>
    <row r="9" spans="1:4">
      <c r="B9" s="59" t="str">
        <v>Sarah Davis</v>
      </c>
      <c r="C9" s="59" t="str">
        <f t="shared" si="0"/>
        <v>SD</v>
      </c>
    </row>
    <row r="10" spans="1:4">
      <c r="B10" s="59" t="str">
        <v>James Johnson</v>
      </c>
      <c r="C10" s="59" t="str">
        <f t="shared" si="0"/>
        <v>JJ</v>
      </c>
    </row>
    <row r="11" spans="1:4">
      <c r="B11" s="59" t="str">
        <v>Lisa Anderson</v>
      </c>
      <c r="C11" s="59" t="str">
        <f t="shared" si="0"/>
        <v>LA</v>
      </c>
    </row>
    <row r="12" spans="1:4">
      <c r="B12" s="59" t="str">
        <v>David Martinez</v>
      </c>
      <c r="C12" s="59" t="str">
        <f t="shared" si="0"/>
        <v>DM</v>
      </c>
    </row>
    <row r="13" spans="1:4">
      <c r="B13" s="59" t="str">
        <v>Jennifer Taylor</v>
      </c>
      <c r="C13" s="59" t="str">
        <f t="shared" si="0"/>
        <v>JT</v>
      </c>
    </row>
    <row r="14" spans="1:4">
      <c r="B14" s="59" t="str">
        <v>Robert Thomas</v>
      </c>
      <c r="C14" s="59" t="str">
        <f t="shared" si="0"/>
        <v>RT</v>
      </c>
    </row>
    <row r="15" spans="1:4">
      <c r="B15" s="59" t="str">
        <v>Maria Garcia</v>
      </c>
      <c r="C15" s="59" t="str">
        <f t="shared" si="0"/>
        <v>MG</v>
      </c>
    </row>
    <row r="16" spans="1:4">
      <c r="B16" s="59" t="str">
        <v>William White</v>
      </c>
      <c r="C16" s="59" t="str">
        <f t="shared" si="0"/>
        <v>WW</v>
      </c>
    </row>
    <row r="17" spans="2:3">
      <c r="B17" s="59" t="str">
        <v>Patricia Moore</v>
      </c>
      <c r="C17" s="59" t="str">
        <f t="shared" si="0"/>
        <v>PM</v>
      </c>
    </row>
    <row r="18" spans="2:3">
      <c r="B18" s="59" t="str">
        <v>Joseph Jackson</v>
      </c>
      <c r="C18" s="59" t="str">
        <f t="shared" si="0"/>
        <v>JJ</v>
      </c>
    </row>
    <row r="19" spans="2:3">
      <c r="B19" s="59" t="str">
        <v>Linda Martin</v>
      </c>
      <c r="C19" s="59" t="str">
        <f t="shared" si="0"/>
        <v>LM</v>
      </c>
    </row>
    <row r="20" spans="2:3">
      <c r="B20" s="59" t="str">
        <v>Richard Lee</v>
      </c>
      <c r="C20" s="59" t="str">
        <f t="shared" si="0"/>
        <v>RL</v>
      </c>
    </row>
    <row r="21" spans="2:3">
      <c r="B21" s="59" t="str">
        <v>Elizabeth Hall</v>
      </c>
      <c r="C21" s="59" t="str">
        <f t="shared" si="0"/>
        <v>EH</v>
      </c>
    </row>
    <row r="22" spans="2:3">
      <c r="B22" s="59" t="str">
        <v>Charles Allen</v>
      </c>
      <c r="C22" s="59" t="str">
        <f t="shared" si="0"/>
        <v>CA</v>
      </c>
    </row>
    <row r="23" spans="2:3">
      <c r="B23" s="59" t="str">
        <v>Barbara Young</v>
      </c>
      <c r="C23" s="59" t="str">
        <f t="shared" si="0"/>
        <v>BY</v>
      </c>
    </row>
    <row r="24" spans="2:3">
      <c r="B24" s="59" t="str">
        <v>Daniel King</v>
      </c>
      <c r="C24" s="59" t="str">
        <f t="shared" si="0"/>
        <v>DK</v>
      </c>
    </row>
    <row r="25" spans="2:3">
      <c r="B25" s="59" t="str">
        <v>Margaret Wright</v>
      </c>
      <c r="C25" s="59" t="str">
        <f t="shared" si="0"/>
        <v>MW</v>
      </c>
    </row>
    <row r="26" spans="2:3">
      <c r="B26" s="59" t="str">
        <v>Kevin Scott</v>
      </c>
      <c r="C26" s="59" t="str">
        <f t="shared" si="0"/>
        <v>KS</v>
      </c>
    </row>
    <row r="27" spans="2:3">
      <c r="B27" s="59" t="str">
        <v>Susan Green</v>
      </c>
      <c r="C27" s="59" t="str">
        <f t="shared" si="0"/>
        <v>SG</v>
      </c>
    </row>
    <row r="28" spans="2:3">
      <c r="B28" s="59" t="str">
        <v>Paul Baker</v>
      </c>
      <c r="C28" s="59" t="str">
        <f t="shared" si="0"/>
        <v>PB</v>
      </c>
    </row>
    <row r="29" spans="2:3">
      <c r="B29" s="59" t="str">
        <v>Dorothy Nelson</v>
      </c>
      <c r="C29" s="59" t="str">
        <f t="shared" si="0"/>
        <v>DN</v>
      </c>
    </row>
    <row r="30" spans="2:3">
      <c r="B30" s="59" t="str">
        <v>Mark Carter</v>
      </c>
      <c r="C30" s="59" t="str">
        <f t="shared" si="0"/>
        <v>MC</v>
      </c>
    </row>
    <row r="31" spans="2:3">
      <c r="B31" s="59" t="str">
        <v>Karen Hill</v>
      </c>
      <c r="C31" s="59" t="str">
        <f t="shared" si="0"/>
        <v>KH</v>
      </c>
    </row>
    <row r="32" spans="2:3">
      <c r="B32" s="59" t="str">
        <v>George Adams</v>
      </c>
      <c r="C32" s="59" t="str">
        <f t="shared" si="0"/>
        <v>GA</v>
      </c>
    </row>
    <row r="33" spans="2:3">
      <c r="B33" s="59" t="str">
        <v>Betty Campbell</v>
      </c>
      <c r="C33" s="59" t="str">
        <f t="shared" si="0"/>
        <v>BC</v>
      </c>
    </row>
    <row r="34" spans="2:3">
      <c r="B34" s="59" t="str">
        <v>Edward Mitchell</v>
      </c>
      <c r="C34" s="59" t="str">
        <f t="shared" si="0"/>
        <v>EM</v>
      </c>
    </row>
    <row r="35" spans="2:3">
      <c r="B35" s="59" t="str">
        <v>Helen Roberts</v>
      </c>
      <c r="C35" s="59" t="str">
        <f t="shared" si="0"/>
        <v>HR</v>
      </c>
    </row>
    <row r="36" spans="2:3">
      <c r="B36" s="59" t="str">
        <v>Steven Turner</v>
      </c>
      <c r="C36" s="59" t="str">
        <f t="shared" si="0"/>
        <v>ST</v>
      </c>
    </row>
    <row r="37" spans="2:3">
      <c r="B37" s="59" t="str">
        <v>Sandra Phillips</v>
      </c>
      <c r="C37" s="59" t="str">
        <f t="shared" si="0"/>
        <v>SP</v>
      </c>
    </row>
    <row r="38" spans="2:3">
      <c r="B38" s="59" t="str">
        <v>Frank Torres</v>
      </c>
      <c r="C38" s="59" t="str">
        <f t="shared" si="0"/>
        <v>FT</v>
      </c>
    </row>
    <row r="39" spans="2:3">
      <c r="B39" s="59" t="str">
        <v>Carol Evans</v>
      </c>
      <c r="C39" s="59" t="str">
        <f t="shared" si="0"/>
        <v>CE</v>
      </c>
    </row>
    <row r="40" spans="2:3">
      <c r="B40" s="59" t="str">
        <v>Harry Morgan</v>
      </c>
      <c r="C40" s="59" t="str">
        <f t="shared" si="0"/>
        <v>HM</v>
      </c>
    </row>
    <row r="41" spans="2:3">
      <c r="B41" s="59" t="str">
        <v>Nancy Collins</v>
      </c>
      <c r="C41" s="59" t="str">
        <f t="shared" si="0"/>
        <v>NC</v>
      </c>
    </row>
    <row r="42" spans="2:3">
      <c r="B42" s="59" t="str">
        <v>Arthur Edwards</v>
      </c>
      <c r="C42" s="59" t="str">
        <f t="shared" si="0"/>
        <v>AE</v>
      </c>
    </row>
    <row r="43" spans="2:3">
      <c r="B43" s="59" t="str">
        <v>Michelle Rogers</v>
      </c>
      <c r="C43" s="59" t="str">
        <f t="shared" si="0"/>
        <v>MR</v>
      </c>
    </row>
    <row r="44" spans="2:3">
      <c r="B44" s="59" t="str">
        <v>Lawrence Reed</v>
      </c>
      <c r="C44" s="59" t="str">
        <f t="shared" si="0"/>
        <v>LR</v>
      </c>
    </row>
    <row r="45" spans="2:3">
      <c r="B45" s="59" t="str">
        <v>Sharon Butler</v>
      </c>
      <c r="C45" s="59" t="str">
        <f t="shared" si="0"/>
        <v>SB</v>
      </c>
    </row>
    <row r="46" spans="2:3">
      <c r="B46" s="59" t="str">
        <v>Peter Richardson</v>
      </c>
      <c r="C46" s="59" t="str">
        <f t="shared" si="0"/>
        <v>PR</v>
      </c>
    </row>
    <row r="47" spans="2:3">
      <c r="B47" s="59" t="str">
        <v>Ruth Brooks</v>
      </c>
      <c r="C47" s="59" t="str">
        <f t="shared" si="0"/>
        <v>RB</v>
      </c>
    </row>
    <row r="48" spans="2:3">
      <c r="B48" s="59" t="str">
        <v>Dennis Gray</v>
      </c>
      <c r="C48" s="59" t="str">
        <f t="shared" si="0"/>
        <v>DG</v>
      </c>
    </row>
    <row r="49" spans="2:3">
      <c r="B49" s="59" t="str">
        <v>Cynthia Price</v>
      </c>
      <c r="C49" s="59" t="str">
        <f t="shared" si="0"/>
        <v>CP</v>
      </c>
    </row>
    <row r="50" spans="2:3">
      <c r="B50" s="59" t="str">
        <v>Douglas Watson</v>
      </c>
      <c r="C50" s="59" t="str">
        <f t="shared" si="0"/>
        <v>DW</v>
      </c>
    </row>
    <row r="51" spans="2:3">
      <c r="B51" s="59" t="str">
        <v>Kathleen Bennett</v>
      </c>
      <c r="C51" s="59" t="str">
        <f t="shared" si="0"/>
        <v>KB</v>
      </c>
    </row>
    <row r="52" spans="2:3">
      <c r="B52" s="59" t="str">
        <v>Gerald Murphy</v>
      </c>
      <c r="C52" s="59" t="str">
        <f t="shared" si="0"/>
        <v>GM</v>
      </c>
    </row>
    <row r="53" spans="2:3">
      <c r="B53" s="59" t="str">
        <v>Virginia Sanders</v>
      </c>
      <c r="C53" s="59" t="str">
        <f t="shared" si="0"/>
        <v>VS</v>
      </c>
    </row>
    <row r="54" spans="2:3">
      <c r="B54" s="59" t="str">
        <v>Raymond Ross</v>
      </c>
      <c r="C54" s="59" t="str">
        <f t="shared" si="0"/>
        <v>RR</v>
      </c>
    </row>
    <row r="55" spans="2:3">
      <c r="B55" s="59" t="str">
        <v>Julie Foster</v>
      </c>
      <c r="C55" s="59" t="str">
        <f t="shared" si="0"/>
        <v>JF</v>
      </c>
    </row>
  </sheetData>
  <mergeCells count="2">
    <mergeCell ref="B3:C3"/>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workbookViewId="0">
      <selection activeCell="E7" sqref="E7"/>
    </sheetView>
  </sheetViews>
  <sheetFormatPr defaultRowHeight="14"/>
  <cols>
    <col min="1" max="1" width="20.25" bestFit="1" customWidth="1"/>
    <col min="2" max="2" width="11.6640625" bestFit="1" customWidth="1"/>
  </cols>
  <sheetData>
    <row r="2" spans="1:2">
      <c r="A2" s="94" t="s">
        <v>489</v>
      </c>
      <c r="B2" s="94"/>
    </row>
    <row r="4" spans="1:2">
      <c r="A4" s="70" t="s">
        <v>442</v>
      </c>
      <c r="B4" s="78">
        <f>SUM(Table1[Total_Amount])</f>
        <v>229192.47000000026</v>
      </c>
    </row>
    <row r="5" spans="1:2">
      <c r="A5" s="70" t="s">
        <v>468</v>
      </c>
      <c r="B5" s="70">
        <f>COUNTA(Table1[Transaction_ID])</f>
        <v>250</v>
      </c>
    </row>
    <row r="6" spans="1:2">
      <c r="A6" s="70" t="s">
        <v>487</v>
      </c>
      <c r="B6" s="79">
        <f>B4/B5</f>
        <v>916.76988000000108</v>
      </c>
    </row>
    <row r="7" spans="1:2">
      <c r="A7" s="70" t="s">
        <v>488</v>
      </c>
      <c r="B7" s="70">
        <f>COUNTA(_xlfn.UNIQUE(Table1[Customer_ID]))</f>
        <v>50</v>
      </c>
    </row>
    <row r="8" spans="1:2">
      <c r="A8" s="70" t="s">
        <v>469</v>
      </c>
      <c r="B8" s="80">
        <f>SUM(Table1[Quantity])</f>
        <v>753</v>
      </c>
    </row>
  </sheetData>
  <mergeCells count="1">
    <mergeCell ref="A2: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16"/>
  <sheetViews>
    <sheetView topLeftCell="B2" zoomScale="58" workbookViewId="0">
      <selection activeCell="U30" sqref="U30"/>
    </sheetView>
  </sheetViews>
  <sheetFormatPr defaultRowHeight="14"/>
  <cols>
    <col min="1" max="1" width="16.08203125" bestFit="1" customWidth="1"/>
    <col min="2" max="2" width="8.08203125" bestFit="1" customWidth="1"/>
    <col min="3" max="3" width="19" bestFit="1" customWidth="1"/>
    <col min="4" max="4" width="18.58203125" bestFit="1" customWidth="1"/>
    <col min="5" max="5" width="15.75" bestFit="1" customWidth="1"/>
    <col min="6" max="6" width="27.6640625" bestFit="1" customWidth="1"/>
    <col min="9" max="9" width="10.58203125" bestFit="1" customWidth="1"/>
    <col min="10" max="10" width="19" bestFit="1" customWidth="1"/>
    <col min="12" max="12" width="11" customWidth="1"/>
    <col min="13" max="13" width="22.4140625" customWidth="1"/>
    <col min="14" max="14" width="12.1640625" customWidth="1"/>
    <col min="15" max="15" width="11.6640625" customWidth="1"/>
    <col min="16" max="16" width="24.5" customWidth="1"/>
    <col min="17" max="17" width="26" bestFit="1" customWidth="1"/>
    <col min="18" max="18" width="31" bestFit="1" customWidth="1"/>
    <col min="19" max="19" width="20.58203125" bestFit="1" customWidth="1"/>
  </cols>
  <sheetData>
    <row r="3" spans="1:16">
      <c r="A3" s="75" t="s">
        <v>473</v>
      </c>
      <c r="B3" s="75" t="s">
        <v>472</v>
      </c>
      <c r="C3" s="75" t="s">
        <v>470</v>
      </c>
      <c r="E3" s="75" t="s">
        <v>6</v>
      </c>
      <c r="F3" s="75" t="s">
        <v>470</v>
      </c>
      <c r="I3" s="75" t="s">
        <v>10</v>
      </c>
      <c r="J3" s="75" t="s">
        <v>470</v>
      </c>
      <c r="L3" s="75" t="s">
        <v>11</v>
      </c>
      <c r="M3" s="75" t="s">
        <v>470</v>
      </c>
      <c r="O3" s="75" t="s">
        <v>9</v>
      </c>
      <c r="P3" s="75" t="s">
        <v>486</v>
      </c>
    </row>
    <row r="4" spans="1:16">
      <c r="A4" t="s">
        <v>474</v>
      </c>
      <c r="C4" s="34">
        <v>25799.15</v>
      </c>
      <c r="E4" t="s">
        <v>33</v>
      </c>
      <c r="F4" s="34">
        <v>8338.739999999998</v>
      </c>
      <c r="I4" t="s">
        <v>21</v>
      </c>
      <c r="J4" s="34">
        <v>41288.340000000004</v>
      </c>
      <c r="L4" t="s">
        <v>27</v>
      </c>
      <c r="M4" s="43">
        <v>0.36937129740780739</v>
      </c>
      <c r="O4" t="s">
        <v>20</v>
      </c>
      <c r="P4">
        <v>76</v>
      </c>
    </row>
    <row r="5" spans="1:16">
      <c r="A5" t="s">
        <v>475</v>
      </c>
      <c r="C5" s="34">
        <v>16069.38</v>
      </c>
      <c r="E5" t="s">
        <v>19</v>
      </c>
      <c r="F5" s="34">
        <v>171756.05000000005</v>
      </c>
      <c r="I5" t="s">
        <v>63</v>
      </c>
      <c r="J5" s="34">
        <v>59288.39</v>
      </c>
      <c r="L5" t="s">
        <v>36</v>
      </c>
      <c r="M5" s="43">
        <v>0.359337896223205</v>
      </c>
      <c r="O5" t="s">
        <v>26</v>
      </c>
      <c r="P5">
        <v>68</v>
      </c>
    </row>
    <row r="6" spans="1:16">
      <c r="A6" t="s">
        <v>476</v>
      </c>
      <c r="C6" s="34">
        <v>19899.38</v>
      </c>
      <c r="E6" t="s">
        <v>46</v>
      </c>
      <c r="F6" s="34">
        <v>49097.680000000015</v>
      </c>
      <c r="I6" t="s">
        <v>40</v>
      </c>
      <c r="J6" s="34">
        <v>50808.310000000019</v>
      </c>
      <c r="L6" t="s">
        <v>22</v>
      </c>
      <c r="M6" s="43">
        <v>0.27129080636898756</v>
      </c>
      <c r="O6" t="s">
        <v>57</v>
      </c>
      <c r="P6">
        <v>54</v>
      </c>
    </row>
    <row r="7" spans="1:16">
      <c r="A7" t="s">
        <v>477</v>
      </c>
      <c r="C7" s="34">
        <v>27899.160000000007</v>
      </c>
      <c r="E7" s="75" t="s">
        <v>471</v>
      </c>
      <c r="F7" s="76">
        <v>229192.47000000006</v>
      </c>
      <c r="I7" t="s">
        <v>35</v>
      </c>
      <c r="J7" s="34">
        <v>36398.75</v>
      </c>
      <c r="L7" s="75" t="s">
        <v>471</v>
      </c>
      <c r="M7" s="77">
        <v>1</v>
      </c>
      <c r="O7" t="s">
        <v>34</v>
      </c>
      <c r="P7">
        <v>52</v>
      </c>
    </row>
    <row r="8" spans="1:16">
      <c r="A8" t="s">
        <v>478</v>
      </c>
      <c r="C8" s="34">
        <v>17039.349999999999</v>
      </c>
      <c r="I8" t="s">
        <v>50</v>
      </c>
      <c r="J8" s="34">
        <v>41408.68</v>
      </c>
      <c r="O8" s="75" t="s">
        <v>471</v>
      </c>
      <c r="P8" s="75">
        <v>250</v>
      </c>
    </row>
    <row r="9" spans="1:16">
      <c r="A9" t="s">
        <v>479</v>
      </c>
      <c r="C9" s="34">
        <v>19299.45</v>
      </c>
      <c r="I9" s="75" t="s">
        <v>471</v>
      </c>
      <c r="J9" s="76">
        <v>229192.47000000003</v>
      </c>
    </row>
    <row r="10" spans="1:16">
      <c r="A10" t="s">
        <v>480</v>
      </c>
      <c r="C10" s="34">
        <v>18479.399999999998</v>
      </c>
    </row>
    <row r="11" spans="1:16">
      <c r="A11" t="s">
        <v>481</v>
      </c>
      <c r="C11" s="34">
        <v>15759.429999999998</v>
      </c>
    </row>
    <row r="12" spans="1:16">
      <c r="A12" t="s">
        <v>482</v>
      </c>
      <c r="C12" s="34">
        <v>12989.509999999998</v>
      </c>
    </row>
    <row r="13" spans="1:16">
      <c r="A13" t="s">
        <v>483</v>
      </c>
      <c r="C13" s="34">
        <v>20609.519999999997</v>
      </c>
    </row>
    <row r="14" spans="1:16">
      <c r="A14" t="s">
        <v>484</v>
      </c>
      <c r="C14" s="34">
        <v>12309.439999999999</v>
      </c>
    </row>
    <row r="15" spans="1:16">
      <c r="A15" t="s">
        <v>485</v>
      </c>
      <c r="C15" s="34">
        <v>23039.300000000003</v>
      </c>
    </row>
    <row r="16" spans="1:16">
      <c r="A16" s="75" t="s">
        <v>471</v>
      </c>
      <c r="B16" s="75"/>
      <c r="C16" s="76">
        <v>229192.47000000003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A2" zoomScale="65" workbookViewId="0">
      <selection activeCell="AA10" sqref="AA10"/>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Dataset</vt:lpstr>
      <vt:lpstr>Date_Time</vt:lpstr>
      <vt:lpstr>Filter_Function</vt:lpstr>
      <vt:lpstr>Conditional_Formatting</vt:lpstr>
      <vt:lpstr>What_if_Analysis</vt:lpstr>
      <vt:lpstr>Linear_Regression</vt:lpstr>
      <vt:lpstr>High_Value_Customers</vt:lpstr>
      <vt:lpstr>Product_Analysis</vt:lpstr>
      <vt:lpstr>Regional_Analysis</vt:lpstr>
      <vt:lpstr>Abbrevation</vt:lpstr>
      <vt:lpstr>KPI's</vt:lpstr>
      <vt:lpstr>Pivot_and_Charts</vt:lpstr>
      <vt:lpstr>Dashboard</vt:lpstr>
      <vt:lpstr>Data_Intelligence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ravindra kumar</dc:creator>
  <cp:lastModifiedBy>DELL</cp:lastModifiedBy>
  <dcterms:created xsi:type="dcterms:W3CDTF">2026-04-03T06:19:30Z</dcterms:created>
  <dcterms:modified xsi:type="dcterms:W3CDTF">2026-04-17T04:37:14Z</dcterms:modified>
</cp:coreProperties>
</file>